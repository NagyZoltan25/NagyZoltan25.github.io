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Útmutató" sheetId="1" state="visible" r:id="rId3"/>
    <sheet name="📊 Éves Összesítő" sheetId="2" state="visible" r:id="rId4"/>
    <sheet name="Január" sheetId="3" state="visible" r:id="rId5"/>
    <sheet name="Február" sheetId="4" state="visible" r:id="rId6"/>
    <sheet name="Március" sheetId="5" state="visible" r:id="rId7"/>
    <sheet name="Április" sheetId="6" state="visible" r:id="rId8"/>
    <sheet name="Május" sheetId="7" state="visible" r:id="rId9"/>
    <sheet name="Június" sheetId="8" state="visible" r:id="rId10"/>
    <sheet name="Július" sheetId="9" state="visible" r:id="rId11"/>
    <sheet name="Augusztus" sheetId="10" state="visible" r:id="rId12"/>
    <sheet name="Szeptember" sheetId="11" state="visible" r:id="rId13"/>
    <sheet name="Október" sheetId="12" state="visible" r:id="rId14"/>
    <sheet name="November" sheetId="13" state="visible" r:id="rId15"/>
    <sheet name="December" sheetId="14" state="visible" r:id="rId16"/>
    <sheet name="_Segéd" sheetId="15" state="hidden" r:id="rId17"/>
  </sheets>
  <definedNames>
    <definedName function="false" hidden="false" localSheetId="5" name="_xlnm.Print_Area" vbProcedure="false">Április!$A$1:$F$126</definedName>
    <definedName function="false" hidden="false" localSheetId="9" name="_xlnm.Print_Area" vbProcedure="false">Augusztus!$A$1:$F$126</definedName>
    <definedName function="false" hidden="false" localSheetId="13" name="_xlnm.Print_Area" vbProcedure="false">December!$A$1:$F$126</definedName>
    <definedName function="false" hidden="false" localSheetId="3" name="_xlnm.Print_Area" vbProcedure="false">Február!$A$1:$F$126</definedName>
    <definedName function="false" hidden="false" localSheetId="2" name="_xlnm.Print_Area" vbProcedure="false">Január!$A$1:$F$126</definedName>
    <definedName function="false" hidden="false" localSheetId="8" name="_xlnm.Print_Area" vbProcedure="false">Július!$A$1:$F$126</definedName>
    <definedName function="false" hidden="false" localSheetId="7" name="_xlnm.Print_Area" vbProcedure="false">Június!$A$1:$F$126</definedName>
    <definedName function="false" hidden="false" localSheetId="6" name="_xlnm.Print_Area" vbProcedure="false">Május!$A$1:$F$126</definedName>
    <definedName function="false" hidden="false" localSheetId="4" name="_xlnm.Print_Area" vbProcedure="false">Március!$A$1:$F$126</definedName>
    <definedName function="false" hidden="false" localSheetId="12" name="_xlnm.Print_Area" vbProcedure="false">November!$A$1:$F$126</definedName>
    <definedName function="false" hidden="false" localSheetId="11" name="_xlnm.Print_Area" vbProcedure="false">Október!$A$1:$F$126</definedName>
    <definedName function="false" hidden="false" localSheetId="10" name="_xlnm.Print_Area" vbProcedure="false">Szeptember!$A$1:$F$126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<sst xmlns="http://schemas.openxmlformats.org/spreadsheetml/2006/main" count="772" uniqueCount="161">
  <si>
    <t xml:space="preserve">💰 Egyszerűsített pénzügyi kimutatás – útmutató</t>
  </si>
  <si>
    <t xml:space="preserve">Nagy Zoltán · nagyzoltan25.github.io</t>
  </si>
  <si>
    <t xml:space="preserve">Hogyan használd</t>
  </si>
  <si>
    <t xml:space="preserve">1. Az „📊 Éves Összesítő” lapon írd be az évet (B2).</t>
  </si>
  <si>
    <t xml:space="preserve">2. A hónap elején a „Tervezett” oszlopba írd be, mennyit szánsz az egyes tételekre.</t>
  </si>
  <si>
    <t xml:space="preserve">3. A hónap során vagy végén az „Összeg” oszlopba írd be a tényleges összegeket.</t>
  </si>
  <si>
    <t xml:space="preserve">4. Új tétel: írd be a nevét egy üres sorba (vagy írj át egy meglévőt). A következő hónapokba automatikusan átkerül, és az Éves Összesítő is magától felveszi.</t>
  </si>
  <si>
    <t xml:space="preserve">5. Az „Összesítő” oszlop, a ∑ sorok, az eltérés és a havi egyenleg automatikusan számolódik – ezeket ne írd felül.</t>
  </si>
  <si>
    <t xml:space="preserve">6. Eltérés a tervtől: pozitív = jobb a tervnél (több bevétel, több megtakarítás, kevesebb kiadás); piros, negatív = rosszabb a tervnél.</t>
  </si>
  <si>
    <t xml:space="preserve">7. Arány: bevételi tételek a teljes bevétel %-ában, megtakarítási tételek az összes megtakarítás %-ában, kiadási tételek az összes kiadás %-ában. A megtakarítás és a kiadás összesen a bevétel %-ában.</t>
  </si>
  <si>
    <t xml:space="preserve">8. Megtakarítási index: a bevétel hány százalékát tetted félre az adott hónapban.</t>
  </si>
  <si>
    <t xml:space="preserve">Jelmagyarázat</t>
  </si>
  <si>
    <t xml:space="preserve">Kék szám = te írod be  ·  Fekete szám = a táblázat számolja  ·  Zöld szám (összesítő lapon) = a havi lapokról jön</t>
  </si>
  <si>
    <t xml:space="preserve">Példa: Nagybevásárlások – Tervezett: 60 000 Ft, Összeg: 72 000 Ft → Eltérés: −12 000 Ft (piros: 12 ezerrel túllépted).</t>
  </si>
  <si>
    <t xml:space="preserve">A havi lapok üresek – a saját adataidat írd be.</t>
  </si>
  <si>
    <t xml:space="preserve">Ez a táblázat általános segédeszköz, nem személyre szabott pénzügyi tanácsadás.</t>
  </si>
  <si>
    <t xml:space="preserve">📊 ÉVES PÉNZÜGYI ÖSSZESÍTŐ</t>
  </si>
  <si>
    <t xml:space="preserve">Év (írd át, ha másik évet vezetsz):</t>
  </si>
  <si>
    <t xml:space="preserve">📈 HAVI ÖSSZEFOGLALÓ</t>
  </si>
  <si>
    <t xml:space="preserve">Jan</t>
  </si>
  <si>
    <t xml:space="preserve">Feb</t>
  </si>
  <si>
    <t xml:space="preserve">Már</t>
  </si>
  <si>
    <t xml:space="preserve">Ápr</t>
  </si>
  <si>
    <t xml:space="preserve">Máj</t>
  </si>
  <si>
    <t xml:space="preserve">Jún</t>
  </si>
  <si>
    <t xml:space="preserve">Júl</t>
  </si>
  <si>
    <t xml:space="preserve">Aug</t>
  </si>
  <si>
    <t xml:space="preserve">Sze</t>
  </si>
  <si>
    <t xml:space="preserve">Okt</t>
  </si>
  <si>
    <t xml:space="preserve">Nov</t>
  </si>
  <si>
    <t xml:space="preserve">Dec</t>
  </si>
  <si>
    <t xml:space="preserve">ÉVES</t>
  </si>
  <si>
    <t xml:space="preserve">Havi átlag*</t>
  </si>
  <si>
    <t xml:space="preserve">Arány</t>
  </si>
  <si>
    <t xml:space="preserve">💚 Bevétel összesen</t>
  </si>
  <si>
    <t xml:space="preserve">💎 Megtakarítás összesen</t>
  </si>
  <si>
    <t xml:space="preserve">❤️ Kiadás összesen</t>
  </si>
  <si>
    <t xml:space="preserve">💰 Havi egyenleg</t>
  </si>
  <si>
    <t xml:space="preserve">Megtakarítási index</t>
  </si>
  <si>
    <t xml:space="preserve">Kumulált egyenleg (év eleje óta)</t>
  </si>
  <si>
    <t xml:space="preserve">💚 BEVÉTELEK TÉTELENKÉNT</t>
  </si>
  <si>
    <t xml:space="preserve">💎 MEGTAKARÍTÁSOK TÉTELENKÉNT</t>
  </si>
  <si>
    <t xml:space="preserve">❤️ KIADÁSOK KATEGÓRIÁNKÉNT</t>
  </si>
  <si>
    <t xml:space="preserve">Lakhatás</t>
  </si>
  <si>
    <t xml:space="preserve">Étkezés, bevásárlás</t>
  </si>
  <si>
    <t xml:space="preserve">Pénzügyek (biztosítások, szerződések és hitelek)</t>
  </si>
  <si>
    <t xml:space="preserve">Közlekedés</t>
  </si>
  <si>
    <t xml:space="preserve">Gyerekek</t>
  </si>
  <si>
    <t xml:space="preserve">Ruházkodás</t>
  </si>
  <si>
    <t xml:space="preserve">Szépségápolás és egészség</t>
  </si>
  <si>
    <t xml:space="preserve">Dohányzás</t>
  </si>
  <si>
    <t xml:space="preserve">Háziállat</t>
  </si>
  <si>
    <t xml:space="preserve">Szabadidő</t>
  </si>
  <si>
    <t xml:space="preserve">Egyéb</t>
  </si>
  <si>
    <t xml:space="preserve">❤️ KIADÁSOK TÉTELENKÉNT</t>
  </si>
  <si>
    <t xml:space="preserve">* Havi átlag: csak a már kitöltött hónapokra számolva. A tételsorok automatikusan követik a havi lapokon beírt neveket.</t>
  </si>
  <si>
    <t xml:space="preserve">Kategória / Megnevezés</t>
  </si>
  <si>
    <t xml:space="preserve">Összeg (Ft)</t>
  </si>
  <si>
    <t xml:space="preserve">Összesítő (Ft)</t>
  </si>
  <si>
    <t xml:space="preserve">Tervezett (Ft)</t>
  </si>
  <si>
    <t xml:space="preserve">Eltérés a tervtől (− = rossz)</t>
  </si>
  <si>
    <t xml:space="preserve">💚 BEVÉTELEK</t>
  </si>
  <si>
    <t xml:space="preserve">Munkából származó bevétel</t>
  </si>
  <si>
    <t xml:space="preserve">Munkabér 1 (pl. saját)</t>
  </si>
  <si>
    <t xml:space="preserve">Munkabér 2 (pl. partner)</t>
  </si>
  <si>
    <t xml:space="preserve">Vállalkozói bevétel</t>
  </si>
  <si>
    <t xml:space="preserve">∑ Munkából származó bevétel</t>
  </si>
  <si>
    <t xml:space="preserve">Egyéb bevétel</t>
  </si>
  <si>
    <t xml:space="preserve">CSED / GYED / GYES</t>
  </si>
  <si>
    <t xml:space="preserve">Családi pótlék</t>
  </si>
  <si>
    <t xml:space="preserve">Egyéb (lakáskiadás, bónusz stb.)</t>
  </si>
  <si>
    <t xml:space="preserve">∑ Egyéb bevétel</t>
  </si>
  <si>
    <t xml:space="preserve">ÖSSZESEN: 💚 BEVÉTELEK</t>
  </si>
  <si>
    <t xml:space="preserve">💎 MEGTAKARÍTÁSOK</t>
  </si>
  <si>
    <t xml:space="preserve">Vésztartalék</t>
  </si>
  <si>
    <t xml:space="preserve">Lakástakarékpénztár</t>
  </si>
  <si>
    <t xml:space="preserve">Általános cél</t>
  </si>
  <si>
    <t xml:space="preserve">Hosszú távú (min. 10 éves, általános célú)</t>
  </si>
  <si>
    <t xml:space="preserve">Hosszú távú (min. 10 éves, lakás célú)</t>
  </si>
  <si>
    <t xml:space="preserve">Hosszú távú (min. 10 éves, gyermek jövője célú)</t>
  </si>
  <si>
    <t xml:space="preserve">Hosszú távú (min. 15 éves, nyugdíj célú)</t>
  </si>
  <si>
    <t xml:space="preserve">Nyugdíjbiztosítás</t>
  </si>
  <si>
    <t xml:space="preserve">ÖSSZESEN: 💎 MEGTAKARÍTÁSOK</t>
  </si>
  <si>
    <t xml:space="preserve">❤️ KIADÁSOK</t>
  </si>
  <si>
    <t xml:space="preserve">Albérleti díj / lakáshitel</t>
  </si>
  <si>
    <t xml:space="preserve">Rezsi (közművek, közös költség)</t>
  </si>
  <si>
    <t xml:space="preserve">Telefon, internet, digitális előfizetések</t>
  </si>
  <si>
    <t xml:space="preserve">∑ Lakhatás</t>
  </si>
  <si>
    <t xml:space="preserve">Nagybevásárlások</t>
  </si>
  <si>
    <t xml:space="preserve">Drogéria</t>
  </si>
  <si>
    <t xml:space="preserve">Ételrendelés</t>
  </si>
  <si>
    <t xml:space="preserve">Egyéb élelmiszer, bevásárlás</t>
  </si>
  <si>
    <t xml:space="preserve">∑ Étkezés, bevásárlás</t>
  </si>
  <si>
    <t xml:space="preserve">Lakásbiztosítás</t>
  </si>
  <si>
    <t xml:space="preserve">Életbiztosítás</t>
  </si>
  <si>
    <t xml:space="preserve">Baleset- és betegségbiztosítás</t>
  </si>
  <si>
    <t xml:space="preserve">Egészségbiztosítás</t>
  </si>
  <si>
    <t xml:space="preserve">Hiteltörlesztés</t>
  </si>
  <si>
    <t xml:space="preserve">Egyéb szerződés</t>
  </si>
  <si>
    <t xml:space="preserve">∑ Pénzügyek (biztosítások, szerződések és hitelek)</t>
  </si>
  <si>
    <t xml:space="preserve">Üzemanyag, elektromos töltés</t>
  </si>
  <si>
    <t xml:space="preserve">Parkolás, útdíj, autópálya-matrica</t>
  </si>
  <si>
    <t xml:space="preserve">Szerviz, karbantartás, gumicsere</t>
  </si>
  <si>
    <t xml:space="preserve">KGFB (kötelező biztosítás)</t>
  </si>
  <si>
    <t xml:space="preserve">CASCO</t>
  </si>
  <si>
    <t xml:space="preserve">Gépjárműadó</t>
  </si>
  <si>
    <t xml:space="preserve">Autóhitel, lízing részlet</t>
  </si>
  <si>
    <t xml:space="preserve">Autómosás, egyéb autós költség</t>
  </si>
  <si>
    <t xml:space="preserve">Tömegközlekedés, bérlet</t>
  </si>
  <si>
    <t xml:space="preserve">Taxi, roller, bicikli, közösségi közlekedés</t>
  </si>
  <si>
    <t xml:space="preserve">∑ Közlekedés</t>
  </si>
  <si>
    <t xml:space="preserve">Gyerek ruha, cipő</t>
  </si>
  <si>
    <t xml:space="preserve">Gyerek étkeztetés (menza)</t>
  </si>
  <si>
    <t xml:space="preserve">Bölcsőde, óvoda, iskola díjai</t>
  </si>
  <si>
    <t xml:space="preserve">Tankönyv, tanszer</t>
  </si>
  <si>
    <t xml:space="preserve">Különórák, edzések</t>
  </si>
  <si>
    <t xml:space="preserve">Magánóra, korrepetálás</t>
  </si>
  <si>
    <t xml:space="preserve">Zsebpénz</t>
  </si>
  <si>
    <t xml:space="preserve">Játékok, szórakozás</t>
  </si>
  <si>
    <t xml:space="preserve">∑ Gyerekek</t>
  </si>
  <si>
    <t xml:space="preserve">Ruha</t>
  </si>
  <si>
    <t xml:space="preserve">Cipő</t>
  </si>
  <si>
    <t xml:space="preserve">Kiegészítők (táska, ékszer, óra)</t>
  </si>
  <si>
    <t xml:space="preserve">∑ Ruházkodás</t>
  </si>
  <si>
    <t xml:space="preserve">Fodrász, borbély</t>
  </si>
  <si>
    <t xml:space="preserve">Kozmetikus, manikűr, pedikűr</t>
  </si>
  <si>
    <t xml:space="preserve">Kozmetikumok, parfüm</t>
  </si>
  <si>
    <t xml:space="preserve">Edzés, sport, bérlet</t>
  </si>
  <si>
    <t xml:space="preserve">Gyógyszer, vitamin</t>
  </si>
  <si>
    <t xml:space="preserve">Orvos, fogorvos, magánrendelés</t>
  </si>
  <si>
    <t xml:space="preserve">∑ Szépségápolás és egészség</t>
  </si>
  <si>
    <t xml:space="preserve">Cigaretta, dohány</t>
  </si>
  <si>
    <t xml:space="preserve">E-cigaretta, hevített dohánytermék</t>
  </si>
  <si>
    <t xml:space="preserve">∑ Dohányzás</t>
  </si>
  <si>
    <t xml:space="preserve">Állateledel, jutalomfalat</t>
  </si>
  <si>
    <t xml:space="preserve">Állatorvos, oltások, gyógyszer</t>
  </si>
  <si>
    <t xml:space="preserve">Felszerelés, alom, játékok</t>
  </si>
  <si>
    <t xml:space="preserve">Kisállat-kozmetika, panzió, kutyaiskola</t>
  </si>
  <si>
    <t xml:space="preserve">∑ Háziállat</t>
  </si>
  <si>
    <t xml:space="preserve">Hobbi</t>
  </si>
  <si>
    <t xml:space="preserve">Szórakozás (mozi, színház, koncert, étterem)</t>
  </si>
  <si>
    <t xml:space="preserve">Nyaralás, utazás</t>
  </si>
  <si>
    <t xml:space="preserve">∑ Szabadidő</t>
  </si>
  <si>
    <t xml:space="preserve">Ünnepek, ajándékok</t>
  </si>
  <si>
    <t xml:space="preserve">Egyéb kiadás</t>
  </si>
  <si>
    <t xml:space="preserve">∑ Egyéb</t>
  </si>
  <si>
    <t xml:space="preserve">ÖSSZESEN: ❤️ KIADÁSOK</t>
  </si>
  <si>
    <t xml:space="preserve">📊 HAVI ÖSSZESÍTŐ</t>
  </si>
  <si>
    <t xml:space="preserve">Tény</t>
  </si>
  <si>
    <t xml:space="preserve">Terv</t>
  </si>
  <si>
    <t xml:space="preserve">a bevétel %-a</t>
  </si>
  <si>
    <t xml:space="preserve">💚 Összes bevétel</t>
  </si>
  <si>
    <t xml:space="preserve">💎 Összes megtakarítás</t>
  </si>
  <si>
    <t xml:space="preserve">❤️ Összes kiadás</t>
  </si>
  <si>
    <t xml:space="preserve">📤 Kiadás + megtakarítás</t>
  </si>
  <si>
    <t xml:space="preserve">💰 HAVI EGYENLEG</t>
  </si>
  <si>
    <t xml:space="preserve">Megtakarítási index (megtakarítás / bevétel)</t>
  </si>
  <si>
    <t xml:space="preserve">Kék szám = ide írsz · Tervezett: amennyit erre a hónapra szánsz · Nagy Zoltán · nagyzoltan25.github.io</t>
  </si>
  <si>
    <t xml:space="preserve">inc</t>
  </si>
  <si>
    <t xml:space="preserve">sav</t>
  </si>
  <si>
    <t xml:space="preserve">exp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</si>
</sst>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"/>
    <numFmt numFmtId="167" formatCode="#,##0&quot; Ft&quot;;[RED]\-#,##0&quot; Ft&quot;;\–"/>
    <numFmt numFmtId="168" formatCode="0.0%;\-0.0%;&quot;&quot;"/>
    <numFmt numFmtId="169" formatCode="0.0%"/>
    <numFmt numFmtId="170" formatCode="#,##0&quot; Ft&quot;;\-#,##0&quot; Ft&quot;;\–"/>
    <numFmt numFmtId="171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E7A52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AF2F8"/>
      </patternFill>
    </fill>
    <fill>
      <patternFill patternType="solid">
        <fgColor rgb="FFDAF2F8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FFD966"/>
        <bgColor rgb="FFF8CBAD"/>
      </patternFill>
    </fill>
    <fill>
      <patternFill patternType="solid">
        <fgColor rgb="FFF2F2F2"/>
        <bgColor rgb="FFE2EFDA"/>
      </patternFill>
    </fill>
    <fill>
      <patternFill patternType="solid">
        <fgColor rgb="FF70AD47"/>
        <bgColor rgb="FF878787"/>
      </patternFill>
    </fill>
    <fill>
      <patternFill patternType="solid">
        <fgColor rgb="FF2E9BD6"/>
        <bgColor rgb="FF33CCCC"/>
      </patternFill>
    </fill>
    <fill>
      <patternFill patternType="solid">
        <fgColor rgb="FFC00000"/>
        <bgColor rgb="FF800000"/>
      </patternFill>
    </fill>
    <fill>
      <patternFill patternType="solid">
        <fgColor rgb="FF2E5496"/>
        <bgColor rgb="FF1F3864"/>
      </patternFill>
    </fill>
    <fill>
      <patternFill patternType="solid">
        <fgColor rgb="FFF8CBAD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7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5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general" vertical="bottom" textRotation="0" wrapText="false" indent="2" shrinkToFit="false"/>
      <protection locked="true" hidden="false"/>
    </xf>
    <xf numFmtId="167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7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A52"/>
      <rgbColor rgb="FFBFBFBF"/>
      <rgbColor rgb="FF878787"/>
      <rgbColor rgb="FF9999FF"/>
      <rgbColor rgb="FF993366"/>
      <rgbColor rgb="FFF2F2F2"/>
      <rgbColor rgb="FFDAF2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D966"/>
      <rgbColor rgb="FFFF9900"/>
      <rgbColor rgb="FFFF6600"/>
      <rgbColor rgb="FF595959"/>
      <rgbColor rgb="FF70AD47"/>
      <rgbColor rgb="FF1F3864"/>
      <rgbColor rgb="FF2E9BD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Bevétel, kiadás és megtakarítás havonta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"Bevétel"</c:f>
              <c:strCache>
                <c:ptCount val="1"/>
                <c:pt idx="0">
                  <c:v>Bevétel</c:v>
                </c:pt>
              </c:strCache>
            </c:strRef>
          </c:tx>
          <c:spPr>
            <a:solidFill>
              <a:srgbClr val="70ad47"/>
            </a:solidFill>
            <a:ln w="0">
              <a:solidFill>
                <a:srgbClr val="70ad4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Éves Összesítő'!$B$4:$M$4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Okt</c:v>
                  </c:pt>
                </c:lvl>
                <c:lvl>
                  <c:pt idx="0">
                    <c:v>Sze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Júl</c:v>
                  </c:pt>
                </c:lvl>
                <c:lvl>
                  <c:pt idx="0">
                    <c:v>Jún</c:v>
                  </c:pt>
                </c:lvl>
                <c:lvl>
                  <c:pt idx="0">
                    <c:v>Máj</c:v>
                  </c:pt>
                </c:lvl>
                <c:lvl>
                  <c:pt idx="0">
                    <c:v>Ápr</c:v>
                  </c:pt>
                </c:lvl>
                <c:lvl>
                  <c:pt idx="0">
                    <c:v>Már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'📊 Éves Összesítő'!$B$5:$M$5</c:f>
              <c:numCache>
                <c:formatCode>#,##0" Ft";[RED]\-#,##0" Ft";\–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"Kiadás"</c:f>
              <c:strCache>
                <c:ptCount val="1"/>
                <c:pt idx="0">
                  <c:v>Kiadás</c:v>
                </c:pt>
              </c:strCache>
            </c:strRef>
          </c:tx>
          <c:spPr>
            <a:solidFill>
              <a:srgbClr val="c00000"/>
            </a:solidFill>
            <a:ln w="0">
              <a:solidFill>
                <a:srgbClr val="c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Éves Összesítő'!$B$4:$M$4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Okt</c:v>
                  </c:pt>
                </c:lvl>
                <c:lvl>
                  <c:pt idx="0">
                    <c:v>Sze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Júl</c:v>
                  </c:pt>
                </c:lvl>
                <c:lvl>
                  <c:pt idx="0">
                    <c:v>Jún</c:v>
                  </c:pt>
                </c:lvl>
                <c:lvl>
                  <c:pt idx="0">
                    <c:v>Máj</c:v>
                  </c:pt>
                </c:lvl>
                <c:lvl>
                  <c:pt idx="0">
                    <c:v>Ápr</c:v>
                  </c:pt>
                </c:lvl>
                <c:lvl>
                  <c:pt idx="0">
                    <c:v>Már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'📊 Éves Összesítő'!$B$7:$M$7</c:f>
              <c:numCache>
                <c:formatCode>#,##0" Ft";[RED]\-#,##0" Ft";\–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"Megtakarítás"</c:f>
              <c:strCache>
                <c:ptCount val="1"/>
                <c:pt idx="0">
                  <c:v>Megtakarítás</c:v>
                </c:pt>
              </c:strCache>
            </c:strRef>
          </c:tx>
          <c:spPr>
            <a:solidFill>
              <a:srgbClr val="2e9bd6"/>
            </a:solidFill>
            <a:ln w="0">
              <a:solidFill>
                <a:srgbClr val="2e9b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Éves Összesítő'!$B$4:$M$4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Okt</c:v>
                  </c:pt>
                </c:lvl>
                <c:lvl>
                  <c:pt idx="0">
                    <c:v>Sze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Júl</c:v>
                  </c:pt>
                </c:lvl>
                <c:lvl>
                  <c:pt idx="0">
                    <c:v>Jún</c:v>
                  </c:pt>
                </c:lvl>
                <c:lvl>
                  <c:pt idx="0">
                    <c:v>Máj</c:v>
                  </c:pt>
                </c:lvl>
                <c:lvl>
                  <c:pt idx="0">
                    <c:v>Ápr</c:v>
                  </c:pt>
                </c:lvl>
                <c:lvl>
                  <c:pt idx="0">
                    <c:v>Már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'📊 Éves Összesítő'!$B$6:$M$6</c:f>
              <c:numCache>
                <c:formatCode>#,##0" Ft";[RED]\-#,##0" Ft";\–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60005620"/>
        <c:axId val="84407645"/>
      </c:barChart>
      <c:catAx>
        <c:axId val="600056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407645"/>
        <c:crosses val="autoZero"/>
        <c:auto val="1"/>
        <c:lblAlgn val="ctr"/>
        <c:lblOffset val="100"/>
        <c:noMultiLvlLbl val="0"/>
      </c:catAx>
      <c:valAx>
        <c:axId val="844076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Ft&quot;;[RED]\-#,##0&quot; Ft&quot;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056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3</xdr:row>
      <xdr:rowOff>0</xdr:rowOff>
    </xdr:from>
    <xdr:to>
      <xdr:col>32</xdr:col>
      <xdr:colOff>78840</xdr:colOff>
      <xdr:row>18</xdr:row>
      <xdr:rowOff>22320</xdr:rowOff>
    </xdr:to>
    <xdr:graphicFrame>
      <xdr:nvGraphicFramePr>
        <xdr:cNvPr id="0" name="Chart 1"/>
        <xdr:cNvGraphicFramePr/>
      </xdr:nvGraphicFramePr>
      <xdr:xfrm>
        <a:off x="17528040" y="70488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9" customFormat="false" ht="26.8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 t="s">
        <v>7</v>
      </c>
    </row>
    <row r="11" customFormat="false" ht="26.85" hidden="false" customHeight="false" outlineLevel="0" collapsed="false">
      <c r="B11" s="3" t="s">
        <v>8</v>
      </c>
    </row>
    <row r="12" customFormat="false" ht="26.8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3" t="s">
        <v>10</v>
      </c>
    </row>
    <row r="14" customFormat="false" ht="15" hidden="false" customHeight="false" outlineLevel="0" collapsed="false">
      <c r="B14" s="3"/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3" t="s">
        <v>12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5" t="s">
        <v>13</v>
      </c>
    </row>
    <row r="19" customFormat="false" ht="15" hidden="false" customHeight="false" outlineLevel="0" collapsed="false">
      <c r="B19" s="5" t="s">
        <v>14</v>
      </c>
    </row>
    <row r="20" customFormat="false" ht="15" hidden="false" customHeight="false" outlineLevel="0" collapsed="false">
      <c r="B20" s="3"/>
    </row>
    <row r="21" customFormat="false" ht="15" hidden="false" customHeight="false" outlineLevel="0" collapsed="false">
      <c r="B21" s="6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5" min="2" style="0" width="13"/>
    <col collapsed="false" customWidth="true" hidden="false" outlineLevel="0" max="16" min="16" style="0" width="10"/>
    <col collapsed="false" customWidth="true" hidden="true" outlineLevel="0" max="17" min="17" style="0" width="13"/>
  </cols>
  <sheetData>
    <row r="1" customFormat="false" ht="25.5" hidden="false" customHeight="true" outlineLevel="0" collapsed="false">
      <c r="A1" s="7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 t="n">
        <f aca="false">SUMPRODUCT(--((B5:M5+B7:M7)&gt;0))</f>
        <v>0</v>
      </c>
    </row>
    <row r="2" customFormat="false" ht="15" hidden="false" customHeight="false" outlineLevel="0" collapsed="false">
      <c r="A2" s="10" t="s">
        <v>17</v>
      </c>
      <c r="B2" s="11" t="n">
        <v>2026</v>
      </c>
    </row>
    <row r="4" customFormat="false" ht="15" hidden="false" customHeight="false" outlineLevel="0" collapsed="false">
      <c r="A4" s="8" t="s">
        <v>18</v>
      </c>
      <c r="B4" s="12" t="s">
        <v>19</v>
      </c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  <c r="H4" s="12" t="s">
        <v>25</v>
      </c>
      <c r="I4" s="12" t="s">
        <v>26</v>
      </c>
      <c r="J4" s="12" t="s">
        <v>27</v>
      </c>
      <c r="K4" s="12" t="s">
        <v>28</v>
      </c>
      <c r="L4" s="12" t="s">
        <v>29</v>
      </c>
      <c r="M4" s="12" t="s">
        <v>30</v>
      </c>
      <c r="N4" s="12" t="s">
        <v>31</v>
      </c>
      <c r="O4" s="12" t="s">
        <v>32</v>
      </c>
      <c r="P4" s="12" t="s">
        <v>33</v>
      </c>
    </row>
    <row r="5" customFormat="false" ht="15" hidden="false" customHeight="false" outlineLevel="0" collapsed="false">
      <c r="A5" s="13" t="s">
        <v>34</v>
      </c>
      <c r="B5" s="14" t="n">
        <f aca="false">Január!C16</f>
        <v>0</v>
      </c>
      <c r="C5" s="14" t="n">
        <f aca="false">Február!C16</f>
        <v>0</v>
      </c>
      <c r="D5" s="14" t="n">
        <f aca="false">Március!C16</f>
        <v>0</v>
      </c>
      <c r="E5" s="14" t="n">
        <f aca="false">Április!C16</f>
        <v>0</v>
      </c>
      <c r="F5" s="14" t="n">
        <f aca="false">Május!C16</f>
        <v>0</v>
      </c>
      <c r="G5" s="14" t="n">
        <f aca="false">Június!C16</f>
        <v>0</v>
      </c>
      <c r="H5" s="14" t="n">
        <f aca="false">Július!C16</f>
        <v>0</v>
      </c>
      <c r="I5" s="14" t="n">
        <f aca="false">Augusztus!C16</f>
        <v>0</v>
      </c>
      <c r="J5" s="14" t="n">
        <f aca="false">Szeptember!C16</f>
        <v>0</v>
      </c>
      <c r="K5" s="14" t="n">
        <f aca="false">Október!C16</f>
        <v>0</v>
      </c>
      <c r="L5" s="14" t="n">
        <f aca="false">November!C16</f>
        <v>0</v>
      </c>
      <c r="M5" s="14" t="n">
        <f aca="false">December!C16</f>
        <v>0</v>
      </c>
      <c r="N5" s="15" t="n">
        <f aca="false">SUM(B5:M5)</f>
        <v>0</v>
      </c>
      <c r="O5" s="15" t="n">
        <f aca="false">N5/MAX(1,$Q$1)</f>
        <v>0</v>
      </c>
      <c r="P5" s="16" t="str">
        <f aca="false">IF(OR(N5="",$N$5=0),"",N5/$N$5)</f>
        <v/>
      </c>
    </row>
    <row r="6" customFormat="false" ht="15" hidden="false" customHeight="false" outlineLevel="0" collapsed="false">
      <c r="A6" s="17" t="s">
        <v>35</v>
      </c>
      <c r="B6" s="14" t="n">
        <f aca="false">Január!C28</f>
        <v>0</v>
      </c>
      <c r="C6" s="14" t="n">
        <f aca="false">Február!C28</f>
        <v>0</v>
      </c>
      <c r="D6" s="14" t="n">
        <f aca="false">Március!C28</f>
        <v>0</v>
      </c>
      <c r="E6" s="14" t="n">
        <f aca="false">Április!C28</f>
        <v>0</v>
      </c>
      <c r="F6" s="14" t="n">
        <f aca="false">Május!C28</f>
        <v>0</v>
      </c>
      <c r="G6" s="14" t="n">
        <f aca="false">Június!C28</f>
        <v>0</v>
      </c>
      <c r="H6" s="14" t="n">
        <f aca="false">Július!C28</f>
        <v>0</v>
      </c>
      <c r="I6" s="14" t="n">
        <f aca="false">Augusztus!C28</f>
        <v>0</v>
      </c>
      <c r="J6" s="14" t="n">
        <f aca="false">Szeptember!C28</f>
        <v>0</v>
      </c>
      <c r="K6" s="14" t="n">
        <f aca="false">Október!C28</f>
        <v>0</v>
      </c>
      <c r="L6" s="14" t="n">
        <f aca="false">November!C28</f>
        <v>0</v>
      </c>
      <c r="M6" s="14" t="n">
        <f aca="false">December!C28</f>
        <v>0</v>
      </c>
      <c r="N6" s="15" t="n">
        <f aca="false">SUM(B6:M6)</f>
        <v>0</v>
      </c>
      <c r="O6" s="15" t="n">
        <f aca="false">N6/MAX(1,$Q$1)</f>
        <v>0</v>
      </c>
      <c r="P6" s="16" t="str">
        <f aca="false">IF(OR(N6="",$N$5=0),"",N6/$N$5)</f>
        <v/>
      </c>
    </row>
    <row r="7" customFormat="false" ht="15" hidden="false" customHeight="false" outlineLevel="0" collapsed="false">
      <c r="A7" s="18" t="s">
        <v>36</v>
      </c>
      <c r="B7" s="14" t="n">
        <f aca="false">Január!C118</f>
        <v>0</v>
      </c>
      <c r="C7" s="14" t="n">
        <f aca="false">Február!C118</f>
        <v>0</v>
      </c>
      <c r="D7" s="14" t="n">
        <f aca="false">Március!C118</f>
        <v>0</v>
      </c>
      <c r="E7" s="14" t="n">
        <f aca="false">Április!C118</f>
        <v>0</v>
      </c>
      <c r="F7" s="14" t="n">
        <f aca="false">Május!C118</f>
        <v>0</v>
      </c>
      <c r="G7" s="14" t="n">
        <f aca="false">Június!C118</f>
        <v>0</v>
      </c>
      <c r="H7" s="14" t="n">
        <f aca="false">Július!C118</f>
        <v>0</v>
      </c>
      <c r="I7" s="14" t="n">
        <f aca="false">Augusztus!C118</f>
        <v>0</v>
      </c>
      <c r="J7" s="14" t="n">
        <f aca="false">Szeptember!C118</f>
        <v>0</v>
      </c>
      <c r="K7" s="14" t="n">
        <f aca="false">Október!C118</f>
        <v>0</v>
      </c>
      <c r="L7" s="14" t="n">
        <f aca="false">November!C118</f>
        <v>0</v>
      </c>
      <c r="M7" s="14" t="n">
        <f aca="false">December!C118</f>
        <v>0</v>
      </c>
      <c r="N7" s="15" t="n">
        <f aca="false">SUM(B7:M7)</f>
        <v>0</v>
      </c>
      <c r="O7" s="15" t="n">
        <f aca="false">N7/MAX(1,$Q$1)</f>
        <v>0</v>
      </c>
      <c r="P7" s="16" t="str">
        <f aca="false">IF(OR(N7="",$N$5=0),"",N7/$N$5)</f>
        <v/>
      </c>
    </row>
    <row r="8" customFormat="false" ht="15" hidden="false" customHeight="false" outlineLevel="0" collapsed="false">
      <c r="A8" s="19" t="s">
        <v>37</v>
      </c>
      <c r="B8" s="20" t="n">
        <f aca="false">B5-B6-B7</f>
        <v>0</v>
      </c>
      <c r="C8" s="20" t="n">
        <f aca="false">C5-C6-C7</f>
        <v>0</v>
      </c>
      <c r="D8" s="20" t="n">
        <f aca="false">D5-D6-D7</f>
        <v>0</v>
      </c>
      <c r="E8" s="20" t="n">
        <f aca="false">E5-E6-E7</f>
        <v>0</v>
      </c>
      <c r="F8" s="20" t="n">
        <f aca="false">F5-F6-F7</f>
        <v>0</v>
      </c>
      <c r="G8" s="20" t="n">
        <f aca="false">G5-G6-G7</f>
        <v>0</v>
      </c>
      <c r="H8" s="20" t="n">
        <f aca="false">H5-H6-H7</f>
        <v>0</v>
      </c>
      <c r="I8" s="20" t="n">
        <f aca="false">I5-I6-I7</f>
        <v>0</v>
      </c>
      <c r="J8" s="20" t="n">
        <f aca="false">J5-J6-J7</f>
        <v>0</v>
      </c>
      <c r="K8" s="20" t="n">
        <f aca="false">K5-K6-K7</f>
        <v>0</v>
      </c>
      <c r="L8" s="20" t="n">
        <f aca="false">L5-L6-L7</f>
        <v>0</v>
      </c>
      <c r="M8" s="20" t="n">
        <f aca="false">M5-M6-M7</f>
        <v>0</v>
      </c>
      <c r="N8" s="20" t="n">
        <f aca="false">N5-N6-N7</f>
        <v>0</v>
      </c>
      <c r="O8" s="20" t="n">
        <f aca="false">O5-O6-O7</f>
        <v>0</v>
      </c>
      <c r="P8" s="21" t="str">
        <f aca="false">IF(OR(N8="",$N$5=0),"",N8/$N$5)</f>
        <v/>
      </c>
    </row>
    <row r="9" customFormat="false" ht="15" hidden="false" customHeight="false" outlineLevel="0" collapsed="false">
      <c r="A9" s="22" t="s">
        <v>38</v>
      </c>
      <c r="B9" s="23" t="str">
        <f aca="false">IF(B5=0,"–",B6/B5)</f>
        <v>–</v>
      </c>
      <c r="C9" s="23" t="str">
        <f aca="false">IF(C5=0,"–",C6/C5)</f>
        <v>–</v>
      </c>
      <c r="D9" s="23" t="str">
        <f aca="false">IF(D5=0,"–",D6/D5)</f>
        <v>–</v>
      </c>
      <c r="E9" s="23" t="str">
        <f aca="false">IF(E5=0,"–",E6/E5)</f>
        <v>–</v>
      </c>
      <c r="F9" s="23" t="str">
        <f aca="false">IF(F5=0,"–",F6/F5)</f>
        <v>–</v>
      </c>
      <c r="G9" s="23" t="str">
        <f aca="false">IF(G5=0,"–",G6/G5)</f>
        <v>–</v>
      </c>
      <c r="H9" s="23" t="str">
        <f aca="false">IF(H5=0,"–",H6/H5)</f>
        <v>–</v>
      </c>
      <c r="I9" s="23" t="str">
        <f aca="false">IF(I5=0,"–",I6/I5)</f>
        <v>–</v>
      </c>
      <c r="J9" s="23" t="str">
        <f aca="false">IF(J5=0,"–",J6/J5)</f>
        <v>–</v>
      </c>
      <c r="K9" s="23" t="str">
        <f aca="false">IF(K5=0,"–",K6/K5)</f>
        <v>–</v>
      </c>
      <c r="L9" s="23" t="str">
        <f aca="false">IF(L5=0,"–",L6/L5)</f>
        <v>–</v>
      </c>
      <c r="M9" s="23" t="str">
        <f aca="false">IF(M5=0,"–",M6/M5)</f>
        <v>–</v>
      </c>
      <c r="N9" s="23" t="str">
        <f aca="false">IF(N5=0,"–",N6/N5)</f>
        <v>–</v>
      </c>
      <c r="O9" s="23" t="str">
        <f aca="false">IF(O5=0,"–",O6/O5)</f>
        <v>–</v>
      </c>
      <c r="P9" s="24"/>
    </row>
    <row r="10" customFormat="false" ht="15" hidden="false" customHeight="false" outlineLevel="0" collapsed="false">
      <c r="A10" s="22" t="s">
        <v>39</v>
      </c>
      <c r="B10" s="25" t="n">
        <f aca="false">B8</f>
        <v>0</v>
      </c>
      <c r="C10" s="25" t="n">
        <f aca="false">B10+C8</f>
        <v>0</v>
      </c>
      <c r="D10" s="25" t="n">
        <f aca="false">C10+D8</f>
        <v>0</v>
      </c>
      <c r="E10" s="25" t="n">
        <f aca="false">D10+E8</f>
        <v>0</v>
      </c>
      <c r="F10" s="25" t="n">
        <f aca="false">E10+F8</f>
        <v>0</v>
      </c>
      <c r="G10" s="25" t="n">
        <f aca="false">F10+G8</f>
        <v>0</v>
      </c>
      <c r="H10" s="25" t="n">
        <f aca="false">G10+H8</f>
        <v>0</v>
      </c>
      <c r="I10" s="25" t="n">
        <f aca="false">H10+I8</f>
        <v>0</v>
      </c>
      <c r="J10" s="25" t="n">
        <f aca="false">I10+J8</f>
        <v>0</v>
      </c>
      <c r="K10" s="25" t="n">
        <f aca="false">J10+K8</f>
        <v>0</v>
      </c>
      <c r="L10" s="25" t="n">
        <f aca="false">K10+L8</f>
        <v>0</v>
      </c>
      <c r="M10" s="25" t="n">
        <f aca="false">L10+M8</f>
        <v>0</v>
      </c>
      <c r="N10" s="24"/>
      <c r="O10" s="24"/>
      <c r="P10" s="24"/>
    </row>
    <row r="11" customFormat="false" ht="15" hidden="false" customHeight="false" outlineLevel="0" collapsed="false">
      <c r="A11" s="26" t="s">
        <v>40</v>
      </c>
      <c r="B11" s="27" t="s">
        <v>19</v>
      </c>
      <c r="C11" s="27" t="s">
        <v>20</v>
      </c>
      <c r="D11" s="27" t="s">
        <v>21</v>
      </c>
      <c r="E11" s="27" t="s">
        <v>22</v>
      </c>
      <c r="F11" s="27" t="s">
        <v>23</v>
      </c>
      <c r="G11" s="27" t="s">
        <v>24</v>
      </c>
      <c r="H11" s="27" t="s">
        <v>25</v>
      </c>
      <c r="I11" s="27" t="s">
        <v>26</v>
      </c>
      <c r="J11" s="27" t="s">
        <v>27</v>
      </c>
      <c r="K11" s="27" t="s">
        <v>28</v>
      </c>
      <c r="L11" s="27" t="s">
        <v>29</v>
      </c>
      <c r="M11" s="27" t="s">
        <v>30</v>
      </c>
      <c r="N11" s="27" t="s">
        <v>31</v>
      </c>
      <c r="O11" s="27" t="s">
        <v>32</v>
      </c>
      <c r="P11" s="27" t="s">
        <v>33</v>
      </c>
    </row>
    <row r="12" customFormat="false" ht="15" hidden="false" customHeight="false" outlineLevel="0" collapsed="false">
      <c r="A12" s="28" t="str">
        <f aca="false">IFERROR(INDEX(_Segéd!$A$2:$A$97,MATCH(1,_Segéd!$B$2:$B$97,0)),"")</f>
        <v>Munkabér 1 (pl. saját)</v>
      </c>
      <c r="B12" s="29" t="n">
        <f aca="false">IF($A12="","",SUMIF(Január!$A$5:$A$14,$A12,Január!$B$5:$B$14))</f>
        <v>0</v>
      </c>
      <c r="C12" s="29" t="n">
        <f aca="false">IF($A12="","",SUMIF(Február!$A$5:$A$14,$A12,Február!$B$5:$B$14))</f>
        <v>0</v>
      </c>
      <c r="D12" s="29" t="n">
        <f aca="false">IF($A12="","",SUMIF(Március!$A$5:$A$14,$A12,Március!$B$5:$B$14))</f>
        <v>0</v>
      </c>
      <c r="E12" s="29" t="n">
        <f aca="false">IF($A12="","",SUMIF(Április!$A$5:$A$14,$A12,Április!$B$5:$B$14))</f>
        <v>0</v>
      </c>
      <c r="F12" s="29" t="n">
        <f aca="false">IF($A12="","",SUMIF(Május!$A$5:$A$14,$A12,Május!$B$5:$B$14))</f>
        <v>0</v>
      </c>
      <c r="G12" s="29" t="n">
        <f aca="false">IF($A12="","",SUMIF(Június!$A$5:$A$14,$A12,Június!$B$5:$B$14))</f>
        <v>0</v>
      </c>
      <c r="H12" s="29" t="n">
        <f aca="false">IF($A12="","",SUMIF(Július!$A$5:$A$14,$A12,Július!$B$5:$B$14))</f>
        <v>0</v>
      </c>
      <c r="I12" s="29" t="n">
        <f aca="false">IF($A12="","",SUMIF(Augusztus!$A$5:$A$14,$A12,Augusztus!$B$5:$B$14))</f>
        <v>0</v>
      </c>
      <c r="J12" s="29" t="n">
        <f aca="false">IF($A12="","",SUMIF(Szeptember!$A$5:$A$14,$A12,Szeptember!$B$5:$B$14))</f>
        <v>0</v>
      </c>
      <c r="K12" s="29" t="n">
        <f aca="false">IF($A12="","",SUMIF(Október!$A$5:$A$14,$A12,Október!$B$5:$B$14))</f>
        <v>0</v>
      </c>
      <c r="L12" s="29" t="n">
        <f aca="false">IF($A12="","",SUMIF(November!$A$5:$A$14,$A12,November!$B$5:$B$14))</f>
        <v>0</v>
      </c>
      <c r="M12" s="29" t="n">
        <f aca="false">IF($A12="","",SUMIF(December!$A$5:$A$14,$A12,December!$B$5:$B$14))</f>
        <v>0</v>
      </c>
      <c r="N12" s="15" t="n">
        <f aca="false">IF($A12="","",SUM(B12:M12))</f>
        <v>0</v>
      </c>
      <c r="O12" s="25" t="n">
        <f aca="false">IF($A12="","",N12/MAX(1,$Q$1))</f>
        <v>0</v>
      </c>
      <c r="P12" s="30" t="str">
        <f aca="false">IF(OR(N12="",$N$5=0),"",N12/$N$5)</f>
        <v/>
      </c>
    </row>
    <row r="13" customFormat="false" ht="15" hidden="false" customHeight="false" outlineLevel="0" collapsed="false">
      <c r="A13" s="28" t="str">
        <f aca="false">IFERROR(INDEX(_Segéd!$A$2:$A$97,MATCH(2,_Segéd!$B$2:$B$97,0)),"")</f>
        <v>Munkabér 2 (pl. partner)</v>
      </c>
      <c r="B13" s="29" t="n">
        <f aca="false">IF($A13="","",SUMIF(Január!$A$5:$A$14,$A13,Január!$B$5:$B$14))</f>
        <v>0</v>
      </c>
      <c r="C13" s="29" t="n">
        <f aca="false">IF($A13="","",SUMIF(Február!$A$5:$A$14,$A13,Február!$B$5:$B$14))</f>
        <v>0</v>
      </c>
      <c r="D13" s="29" t="n">
        <f aca="false">IF($A13="","",SUMIF(Március!$A$5:$A$14,$A13,Március!$B$5:$B$14))</f>
        <v>0</v>
      </c>
      <c r="E13" s="29" t="n">
        <f aca="false">IF($A13="","",SUMIF(Április!$A$5:$A$14,$A13,Április!$B$5:$B$14))</f>
        <v>0</v>
      </c>
      <c r="F13" s="29" t="n">
        <f aca="false">IF($A13="","",SUMIF(Május!$A$5:$A$14,$A13,Május!$B$5:$B$14))</f>
        <v>0</v>
      </c>
      <c r="G13" s="29" t="n">
        <f aca="false">IF($A13="","",SUMIF(Június!$A$5:$A$14,$A13,Június!$B$5:$B$14))</f>
        <v>0</v>
      </c>
      <c r="H13" s="29" t="n">
        <f aca="false">IF($A13="","",SUMIF(Július!$A$5:$A$14,$A13,Július!$B$5:$B$14))</f>
        <v>0</v>
      </c>
      <c r="I13" s="29" t="n">
        <f aca="false">IF($A13="","",SUMIF(Augusztus!$A$5:$A$14,$A13,Augusztus!$B$5:$B$14))</f>
        <v>0</v>
      </c>
      <c r="J13" s="29" t="n">
        <f aca="false">IF($A13="","",SUMIF(Szeptember!$A$5:$A$14,$A13,Szeptember!$B$5:$B$14))</f>
        <v>0</v>
      </c>
      <c r="K13" s="29" t="n">
        <f aca="false">IF($A13="","",SUMIF(Október!$A$5:$A$14,$A13,Október!$B$5:$B$14))</f>
        <v>0</v>
      </c>
      <c r="L13" s="29" t="n">
        <f aca="false">IF($A13="","",SUMIF(November!$A$5:$A$14,$A13,November!$B$5:$B$14))</f>
        <v>0</v>
      </c>
      <c r="M13" s="29" t="n">
        <f aca="false">IF($A13="","",SUMIF(December!$A$5:$A$14,$A13,December!$B$5:$B$14))</f>
        <v>0</v>
      </c>
      <c r="N13" s="15" t="n">
        <f aca="false">IF($A13="","",SUM(B13:M13))</f>
        <v>0</v>
      </c>
      <c r="O13" s="25" t="n">
        <f aca="false">IF($A13="","",N13/MAX(1,$Q$1))</f>
        <v>0</v>
      </c>
      <c r="P13" s="30" t="str">
        <f aca="false">IF(OR(N13="",$N$5=0),"",N13/$N$5)</f>
        <v/>
      </c>
    </row>
    <row r="14" customFormat="false" ht="15" hidden="false" customHeight="false" outlineLevel="0" collapsed="false">
      <c r="A14" s="28" t="str">
        <f aca="false">IFERROR(INDEX(_Segéd!$A$2:$A$97,MATCH(3,_Segéd!$B$2:$B$97,0)),"")</f>
        <v>Vállalkozói bevétel</v>
      </c>
      <c r="B14" s="29" t="n">
        <f aca="false">IF($A14="","",SUMIF(Január!$A$5:$A$14,$A14,Január!$B$5:$B$14))</f>
        <v>0</v>
      </c>
      <c r="C14" s="29" t="n">
        <f aca="false">IF($A14="","",SUMIF(Február!$A$5:$A$14,$A14,Február!$B$5:$B$14))</f>
        <v>0</v>
      </c>
      <c r="D14" s="29" t="n">
        <f aca="false">IF($A14="","",SUMIF(Március!$A$5:$A$14,$A14,Március!$B$5:$B$14))</f>
        <v>0</v>
      </c>
      <c r="E14" s="29" t="n">
        <f aca="false">IF($A14="","",SUMIF(Április!$A$5:$A$14,$A14,Április!$B$5:$B$14))</f>
        <v>0</v>
      </c>
      <c r="F14" s="29" t="n">
        <f aca="false">IF($A14="","",SUMIF(Május!$A$5:$A$14,$A14,Május!$B$5:$B$14))</f>
        <v>0</v>
      </c>
      <c r="G14" s="29" t="n">
        <f aca="false">IF($A14="","",SUMIF(Június!$A$5:$A$14,$A14,Június!$B$5:$B$14))</f>
        <v>0</v>
      </c>
      <c r="H14" s="29" t="n">
        <f aca="false">IF($A14="","",SUMIF(Július!$A$5:$A$14,$A14,Július!$B$5:$B$14))</f>
        <v>0</v>
      </c>
      <c r="I14" s="29" t="n">
        <f aca="false">IF($A14="","",SUMIF(Augusztus!$A$5:$A$14,$A14,Augusztus!$B$5:$B$14))</f>
        <v>0</v>
      </c>
      <c r="J14" s="29" t="n">
        <f aca="false">IF($A14="","",SUMIF(Szeptember!$A$5:$A$14,$A14,Szeptember!$B$5:$B$14))</f>
        <v>0</v>
      </c>
      <c r="K14" s="29" t="n">
        <f aca="false">IF($A14="","",SUMIF(Október!$A$5:$A$14,$A14,Október!$B$5:$B$14))</f>
        <v>0</v>
      </c>
      <c r="L14" s="29" t="n">
        <f aca="false">IF($A14="","",SUMIF(November!$A$5:$A$14,$A14,November!$B$5:$B$14))</f>
        <v>0</v>
      </c>
      <c r="M14" s="29" t="n">
        <f aca="false">IF($A14="","",SUMIF(December!$A$5:$A$14,$A14,December!$B$5:$B$14))</f>
        <v>0</v>
      </c>
      <c r="N14" s="15" t="n">
        <f aca="false">IF($A14="","",SUM(B14:M14))</f>
        <v>0</v>
      </c>
      <c r="O14" s="25" t="n">
        <f aca="false">IF($A14="","",N14/MAX(1,$Q$1))</f>
        <v>0</v>
      </c>
      <c r="P14" s="30" t="str">
        <f aca="false">IF(OR(N14="",$N$5=0),"",N14/$N$5)</f>
        <v/>
      </c>
    </row>
    <row r="15" customFormat="false" ht="15" hidden="false" customHeight="false" outlineLevel="0" collapsed="false">
      <c r="A15" s="28" t="str">
        <f aca="false">IFERROR(INDEX(_Segéd!$A$2:$A$97,MATCH(4,_Segéd!$B$2:$B$97,0)),"")</f>
        <v>CSED / GYED / GYES</v>
      </c>
      <c r="B15" s="29" t="n">
        <f aca="false">IF($A15="","",SUMIF(Január!$A$5:$A$14,$A15,Január!$B$5:$B$14))</f>
        <v>0</v>
      </c>
      <c r="C15" s="29" t="n">
        <f aca="false">IF($A15="","",SUMIF(Február!$A$5:$A$14,$A15,Február!$B$5:$B$14))</f>
        <v>0</v>
      </c>
      <c r="D15" s="29" t="n">
        <f aca="false">IF($A15="","",SUMIF(Március!$A$5:$A$14,$A15,Március!$B$5:$B$14))</f>
        <v>0</v>
      </c>
      <c r="E15" s="29" t="n">
        <f aca="false">IF($A15="","",SUMIF(Április!$A$5:$A$14,$A15,Április!$B$5:$B$14))</f>
        <v>0</v>
      </c>
      <c r="F15" s="29" t="n">
        <f aca="false">IF($A15="","",SUMIF(Május!$A$5:$A$14,$A15,Május!$B$5:$B$14))</f>
        <v>0</v>
      </c>
      <c r="G15" s="29" t="n">
        <f aca="false">IF($A15="","",SUMIF(Június!$A$5:$A$14,$A15,Június!$B$5:$B$14))</f>
        <v>0</v>
      </c>
      <c r="H15" s="29" t="n">
        <f aca="false">IF($A15="","",SUMIF(Július!$A$5:$A$14,$A15,Július!$B$5:$B$14))</f>
        <v>0</v>
      </c>
      <c r="I15" s="29" t="n">
        <f aca="false">IF($A15="","",SUMIF(Augusztus!$A$5:$A$14,$A15,Augusztus!$B$5:$B$14))</f>
        <v>0</v>
      </c>
      <c r="J15" s="29" t="n">
        <f aca="false">IF($A15="","",SUMIF(Szeptember!$A$5:$A$14,$A15,Szeptember!$B$5:$B$14))</f>
        <v>0</v>
      </c>
      <c r="K15" s="29" t="n">
        <f aca="false">IF($A15="","",SUMIF(Október!$A$5:$A$14,$A15,Október!$B$5:$B$14))</f>
        <v>0</v>
      </c>
      <c r="L15" s="29" t="n">
        <f aca="false">IF($A15="","",SUMIF(November!$A$5:$A$14,$A15,November!$B$5:$B$14))</f>
        <v>0</v>
      </c>
      <c r="M15" s="29" t="n">
        <f aca="false">IF($A15="","",SUMIF(December!$A$5:$A$14,$A15,December!$B$5:$B$14))</f>
        <v>0</v>
      </c>
      <c r="N15" s="15" t="n">
        <f aca="false">IF($A15="","",SUM(B15:M15))</f>
        <v>0</v>
      </c>
      <c r="O15" s="25" t="n">
        <f aca="false">IF($A15="","",N15/MAX(1,$Q$1))</f>
        <v>0</v>
      </c>
      <c r="P15" s="30" t="str">
        <f aca="false">IF(OR(N15="",$N$5=0),"",N15/$N$5)</f>
        <v/>
      </c>
    </row>
    <row r="16" customFormat="false" ht="15" hidden="false" customHeight="false" outlineLevel="0" collapsed="false">
      <c r="A16" s="28" t="str">
        <f aca="false">IFERROR(INDEX(_Segéd!$A$2:$A$97,MATCH(5,_Segéd!$B$2:$B$97,0)),"")</f>
        <v>Családi pótlék</v>
      </c>
      <c r="B16" s="29" t="n">
        <f aca="false">IF($A16="","",SUMIF(Január!$A$5:$A$14,$A16,Január!$B$5:$B$14))</f>
        <v>0</v>
      </c>
      <c r="C16" s="29" t="n">
        <f aca="false">IF($A16="","",SUMIF(Február!$A$5:$A$14,$A16,Február!$B$5:$B$14))</f>
        <v>0</v>
      </c>
      <c r="D16" s="29" t="n">
        <f aca="false">IF($A16="","",SUMIF(Március!$A$5:$A$14,$A16,Március!$B$5:$B$14))</f>
        <v>0</v>
      </c>
      <c r="E16" s="29" t="n">
        <f aca="false">IF($A16="","",SUMIF(Április!$A$5:$A$14,$A16,Április!$B$5:$B$14))</f>
        <v>0</v>
      </c>
      <c r="F16" s="29" t="n">
        <f aca="false">IF($A16="","",SUMIF(Május!$A$5:$A$14,$A16,Május!$B$5:$B$14))</f>
        <v>0</v>
      </c>
      <c r="G16" s="29" t="n">
        <f aca="false">IF($A16="","",SUMIF(Június!$A$5:$A$14,$A16,Június!$B$5:$B$14))</f>
        <v>0</v>
      </c>
      <c r="H16" s="29" t="n">
        <f aca="false">IF($A16="","",SUMIF(Július!$A$5:$A$14,$A16,Július!$B$5:$B$14))</f>
        <v>0</v>
      </c>
      <c r="I16" s="29" t="n">
        <f aca="false">IF($A16="","",SUMIF(Augusztus!$A$5:$A$14,$A16,Augusztus!$B$5:$B$14))</f>
        <v>0</v>
      </c>
      <c r="J16" s="29" t="n">
        <f aca="false">IF($A16="","",SUMIF(Szeptember!$A$5:$A$14,$A16,Szeptember!$B$5:$B$14))</f>
        <v>0</v>
      </c>
      <c r="K16" s="29" t="n">
        <f aca="false">IF($A16="","",SUMIF(Október!$A$5:$A$14,$A16,Október!$B$5:$B$14))</f>
        <v>0</v>
      </c>
      <c r="L16" s="29" t="n">
        <f aca="false">IF($A16="","",SUMIF(November!$A$5:$A$14,$A16,November!$B$5:$B$14))</f>
        <v>0</v>
      </c>
      <c r="M16" s="29" t="n">
        <f aca="false">IF($A16="","",SUMIF(December!$A$5:$A$14,$A16,December!$B$5:$B$14))</f>
        <v>0</v>
      </c>
      <c r="N16" s="15" t="n">
        <f aca="false">IF($A16="","",SUM(B16:M16))</f>
        <v>0</v>
      </c>
      <c r="O16" s="25" t="n">
        <f aca="false">IF($A16="","",N16/MAX(1,$Q$1))</f>
        <v>0</v>
      </c>
      <c r="P16" s="30" t="str">
        <f aca="false">IF(OR(N16="",$N$5=0),"",N16/$N$5)</f>
        <v/>
      </c>
    </row>
    <row r="17" customFormat="false" ht="15" hidden="false" customHeight="false" outlineLevel="0" collapsed="false">
      <c r="A17" s="28" t="str">
        <f aca="false">IFERROR(INDEX(_Segéd!$A$2:$A$97,MATCH(6,_Segéd!$B$2:$B$97,0)),"")</f>
        <v>Egyéb (lakáskiadás, bónusz stb.)</v>
      </c>
      <c r="B17" s="29" t="n">
        <f aca="false">IF($A17="","",SUMIF(Január!$A$5:$A$14,$A17,Január!$B$5:$B$14))</f>
        <v>0</v>
      </c>
      <c r="C17" s="29" t="n">
        <f aca="false">IF($A17="","",SUMIF(Február!$A$5:$A$14,$A17,Február!$B$5:$B$14))</f>
        <v>0</v>
      </c>
      <c r="D17" s="29" t="n">
        <f aca="false">IF($A17="","",SUMIF(Március!$A$5:$A$14,$A17,Március!$B$5:$B$14))</f>
        <v>0</v>
      </c>
      <c r="E17" s="29" t="n">
        <f aca="false">IF($A17="","",SUMIF(Április!$A$5:$A$14,$A17,Április!$B$5:$B$14))</f>
        <v>0</v>
      </c>
      <c r="F17" s="29" t="n">
        <f aca="false">IF($A17="","",SUMIF(Május!$A$5:$A$14,$A17,Május!$B$5:$B$14))</f>
        <v>0</v>
      </c>
      <c r="G17" s="29" t="n">
        <f aca="false">IF($A17="","",SUMIF(Június!$A$5:$A$14,$A17,Június!$B$5:$B$14))</f>
        <v>0</v>
      </c>
      <c r="H17" s="29" t="n">
        <f aca="false">IF($A17="","",SUMIF(Július!$A$5:$A$14,$A17,Július!$B$5:$B$14))</f>
        <v>0</v>
      </c>
      <c r="I17" s="29" t="n">
        <f aca="false">IF($A17="","",SUMIF(Augusztus!$A$5:$A$14,$A17,Augusztus!$B$5:$B$14))</f>
        <v>0</v>
      </c>
      <c r="J17" s="29" t="n">
        <f aca="false">IF($A17="","",SUMIF(Szeptember!$A$5:$A$14,$A17,Szeptember!$B$5:$B$14))</f>
        <v>0</v>
      </c>
      <c r="K17" s="29" t="n">
        <f aca="false">IF($A17="","",SUMIF(Október!$A$5:$A$14,$A17,Október!$B$5:$B$14))</f>
        <v>0</v>
      </c>
      <c r="L17" s="29" t="n">
        <f aca="false">IF($A17="","",SUMIF(November!$A$5:$A$14,$A17,November!$B$5:$B$14))</f>
        <v>0</v>
      </c>
      <c r="M17" s="29" t="n">
        <f aca="false">IF($A17="","",SUMIF(December!$A$5:$A$14,$A17,December!$B$5:$B$14))</f>
        <v>0</v>
      </c>
      <c r="N17" s="15" t="n">
        <f aca="false">IF($A17="","",SUM(B17:M17))</f>
        <v>0</v>
      </c>
      <c r="O17" s="25" t="n">
        <f aca="false">IF($A17="","",N17/MAX(1,$Q$1))</f>
        <v>0</v>
      </c>
      <c r="P17" s="30" t="str">
        <f aca="false">IF(OR(N17="",$N$5=0),"",N17/$N$5)</f>
        <v/>
      </c>
    </row>
    <row r="18" customFormat="false" ht="15" hidden="false" customHeight="false" outlineLevel="0" collapsed="false">
      <c r="A18" s="28" t="str">
        <f aca="false">IFERROR(INDEX(_Segéd!$A$2:$A$97,MATCH(7,_Segéd!$B$2:$B$97,0)),"")</f>
        <v/>
      </c>
      <c r="B18" s="29" t="str">
        <f aca="false">IF($A18="","",SUMIF(Január!$A$5:$A$14,$A18,Január!$B$5:$B$14))</f>
        <v/>
      </c>
      <c r="C18" s="29" t="str">
        <f aca="false">IF($A18="","",SUMIF(Február!$A$5:$A$14,$A18,Február!$B$5:$B$14))</f>
        <v/>
      </c>
      <c r="D18" s="29" t="str">
        <f aca="false">IF($A18="","",SUMIF(Március!$A$5:$A$14,$A18,Március!$B$5:$B$14))</f>
        <v/>
      </c>
      <c r="E18" s="29" t="str">
        <f aca="false">IF($A18="","",SUMIF(Április!$A$5:$A$14,$A18,Április!$B$5:$B$14))</f>
        <v/>
      </c>
      <c r="F18" s="29" t="str">
        <f aca="false">IF($A18="","",SUMIF(Május!$A$5:$A$14,$A18,Május!$B$5:$B$14))</f>
        <v/>
      </c>
      <c r="G18" s="29" t="str">
        <f aca="false">IF($A18="","",SUMIF(Június!$A$5:$A$14,$A18,Június!$B$5:$B$14))</f>
        <v/>
      </c>
      <c r="H18" s="29" t="str">
        <f aca="false">IF($A18="","",SUMIF(Július!$A$5:$A$14,$A18,Július!$B$5:$B$14))</f>
        <v/>
      </c>
      <c r="I18" s="29" t="str">
        <f aca="false">IF($A18="","",SUMIF(Augusztus!$A$5:$A$14,$A18,Augusztus!$B$5:$B$14))</f>
        <v/>
      </c>
      <c r="J18" s="29" t="str">
        <f aca="false">IF($A18="","",SUMIF(Szeptember!$A$5:$A$14,$A18,Szeptember!$B$5:$B$14))</f>
        <v/>
      </c>
      <c r="K18" s="29" t="str">
        <f aca="false">IF($A18="","",SUMIF(Október!$A$5:$A$14,$A18,Október!$B$5:$B$14))</f>
        <v/>
      </c>
      <c r="L18" s="29" t="str">
        <f aca="false">IF($A18="","",SUMIF(November!$A$5:$A$14,$A18,November!$B$5:$B$14))</f>
        <v/>
      </c>
      <c r="M18" s="29" t="str">
        <f aca="false">IF($A18="","",SUMIF(December!$A$5:$A$14,$A18,December!$B$5:$B$14))</f>
        <v/>
      </c>
      <c r="N18" s="15" t="str">
        <f aca="false">IF($A18="","",SUM(B18:M18))</f>
        <v/>
      </c>
      <c r="O18" s="25" t="str">
        <f aca="false">IF($A18="","",N18/MAX(1,$Q$1))</f>
        <v/>
      </c>
      <c r="P18" s="30" t="str">
        <f aca="false">IF(OR(N18="",$N$5=0),"",N18/$N$5)</f>
        <v/>
      </c>
    </row>
    <row r="19" customFormat="false" ht="15" hidden="false" customHeight="false" outlineLevel="0" collapsed="false">
      <c r="A19" s="28" t="str">
        <f aca="false">IFERROR(INDEX(_Segéd!$A$2:$A$97,MATCH(8,_Segéd!$B$2:$B$97,0)),"")</f>
        <v/>
      </c>
      <c r="B19" s="29" t="str">
        <f aca="false">IF($A19="","",SUMIF(Január!$A$5:$A$14,$A19,Január!$B$5:$B$14))</f>
        <v/>
      </c>
      <c r="C19" s="29" t="str">
        <f aca="false">IF($A19="","",SUMIF(Február!$A$5:$A$14,$A19,Február!$B$5:$B$14))</f>
        <v/>
      </c>
      <c r="D19" s="29" t="str">
        <f aca="false">IF($A19="","",SUMIF(Március!$A$5:$A$14,$A19,Március!$B$5:$B$14))</f>
        <v/>
      </c>
      <c r="E19" s="29" t="str">
        <f aca="false">IF($A19="","",SUMIF(Április!$A$5:$A$14,$A19,Április!$B$5:$B$14))</f>
        <v/>
      </c>
      <c r="F19" s="29" t="str">
        <f aca="false">IF($A19="","",SUMIF(Május!$A$5:$A$14,$A19,Május!$B$5:$B$14))</f>
        <v/>
      </c>
      <c r="G19" s="29" t="str">
        <f aca="false">IF($A19="","",SUMIF(Június!$A$5:$A$14,$A19,Június!$B$5:$B$14))</f>
        <v/>
      </c>
      <c r="H19" s="29" t="str">
        <f aca="false">IF($A19="","",SUMIF(Július!$A$5:$A$14,$A19,Július!$B$5:$B$14))</f>
        <v/>
      </c>
      <c r="I19" s="29" t="str">
        <f aca="false">IF($A19="","",SUMIF(Augusztus!$A$5:$A$14,$A19,Augusztus!$B$5:$B$14))</f>
        <v/>
      </c>
      <c r="J19" s="29" t="str">
        <f aca="false">IF($A19="","",SUMIF(Szeptember!$A$5:$A$14,$A19,Szeptember!$B$5:$B$14))</f>
        <v/>
      </c>
      <c r="K19" s="29" t="str">
        <f aca="false">IF($A19="","",SUMIF(Október!$A$5:$A$14,$A19,Október!$B$5:$B$14))</f>
        <v/>
      </c>
      <c r="L19" s="29" t="str">
        <f aca="false">IF($A19="","",SUMIF(November!$A$5:$A$14,$A19,November!$B$5:$B$14))</f>
        <v/>
      </c>
      <c r="M19" s="29" t="str">
        <f aca="false">IF($A19="","",SUMIF(December!$A$5:$A$14,$A19,December!$B$5:$B$14))</f>
        <v/>
      </c>
      <c r="N19" s="15" t="str">
        <f aca="false">IF($A19="","",SUM(B19:M19))</f>
        <v/>
      </c>
      <c r="O19" s="25" t="str">
        <f aca="false">IF($A19="","",N19/MAX(1,$Q$1))</f>
        <v/>
      </c>
      <c r="P19" s="30" t="str">
        <f aca="false">IF(OR(N19="",$N$5=0),"",N19/$N$5)</f>
        <v/>
      </c>
    </row>
    <row r="20" customFormat="false" ht="15" hidden="false" customHeight="false" outlineLevel="0" collapsed="false">
      <c r="A20" s="28" t="str">
        <f aca="false">IFERROR(INDEX(_Segéd!$A$2:$A$97,MATCH(9,_Segéd!$B$2:$B$97,0)),"")</f>
        <v/>
      </c>
      <c r="B20" s="29" t="str">
        <f aca="false">IF($A20="","",SUMIF(Január!$A$5:$A$14,$A20,Január!$B$5:$B$14))</f>
        <v/>
      </c>
      <c r="C20" s="29" t="str">
        <f aca="false">IF($A20="","",SUMIF(Február!$A$5:$A$14,$A20,Február!$B$5:$B$14))</f>
        <v/>
      </c>
      <c r="D20" s="29" t="str">
        <f aca="false">IF($A20="","",SUMIF(Március!$A$5:$A$14,$A20,Március!$B$5:$B$14))</f>
        <v/>
      </c>
      <c r="E20" s="29" t="str">
        <f aca="false">IF($A20="","",SUMIF(Április!$A$5:$A$14,$A20,Április!$B$5:$B$14))</f>
        <v/>
      </c>
      <c r="F20" s="29" t="str">
        <f aca="false">IF($A20="","",SUMIF(Május!$A$5:$A$14,$A20,Május!$B$5:$B$14))</f>
        <v/>
      </c>
      <c r="G20" s="29" t="str">
        <f aca="false">IF($A20="","",SUMIF(Június!$A$5:$A$14,$A20,Június!$B$5:$B$14))</f>
        <v/>
      </c>
      <c r="H20" s="29" t="str">
        <f aca="false">IF($A20="","",SUMIF(Július!$A$5:$A$14,$A20,Július!$B$5:$B$14))</f>
        <v/>
      </c>
      <c r="I20" s="29" t="str">
        <f aca="false">IF($A20="","",SUMIF(Augusztus!$A$5:$A$14,$A20,Augusztus!$B$5:$B$14))</f>
        <v/>
      </c>
      <c r="J20" s="29" t="str">
        <f aca="false">IF($A20="","",SUMIF(Szeptember!$A$5:$A$14,$A20,Szeptember!$B$5:$B$14))</f>
        <v/>
      </c>
      <c r="K20" s="29" t="str">
        <f aca="false">IF($A20="","",SUMIF(Október!$A$5:$A$14,$A20,Október!$B$5:$B$14))</f>
        <v/>
      </c>
      <c r="L20" s="29" t="str">
        <f aca="false">IF($A20="","",SUMIF(November!$A$5:$A$14,$A20,November!$B$5:$B$14))</f>
        <v/>
      </c>
      <c r="M20" s="29" t="str">
        <f aca="false">IF($A20="","",SUMIF(December!$A$5:$A$14,$A20,December!$B$5:$B$14))</f>
        <v/>
      </c>
      <c r="N20" s="15" t="str">
        <f aca="false">IF($A20="","",SUM(B20:M20))</f>
        <v/>
      </c>
      <c r="O20" s="25" t="str">
        <f aca="false">IF($A20="","",N20/MAX(1,$Q$1))</f>
        <v/>
      </c>
      <c r="P20" s="30" t="str">
        <f aca="false">IF(OR(N20="",$N$5=0),"",N20/$N$5)</f>
        <v/>
      </c>
    </row>
    <row r="21" customFormat="false" ht="15" hidden="false" customHeight="false" outlineLevel="0" collapsed="false">
      <c r="A21" s="28" t="str">
        <f aca="false">IFERROR(INDEX(_Segéd!$A$2:$A$97,MATCH(10,_Segéd!$B$2:$B$97,0)),"")</f>
        <v/>
      </c>
      <c r="B21" s="29" t="str">
        <f aca="false">IF($A21="","",SUMIF(Január!$A$5:$A$14,$A21,Január!$B$5:$B$14))</f>
        <v/>
      </c>
      <c r="C21" s="29" t="str">
        <f aca="false">IF($A21="","",SUMIF(Február!$A$5:$A$14,$A21,Február!$B$5:$B$14))</f>
        <v/>
      </c>
      <c r="D21" s="29" t="str">
        <f aca="false">IF($A21="","",SUMIF(Március!$A$5:$A$14,$A21,Március!$B$5:$B$14))</f>
        <v/>
      </c>
      <c r="E21" s="29" t="str">
        <f aca="false">IF($A21="","",SUMIF(Április!$A$5:$A$14,$A21,Április!$B$5:$B$14))</f>
        <v/>
      </c>
      <c r="F21" s="29" t="str">
        <f aca="false">IF($A21="","",SUMIF(Május!$A$5:$A$14,$A21,Május!$B$5:$B$14))</f>
        <v/>
      </c>
      <c r="G21" s="29" t="str">
        <f aca="false">IF($A21="","",SUMIF(Június!$A$5:$A$14,$A21,Június!$B$5:$B$14))</f>
        <v/>
      </c>
      <c r="H21" s="29" t="str">
        <f aca="false">IF($A21="","",SUMIF(Július!$A$5:$A$14,$A21,Július!$B$5:$B$14))</f>
        <v/>
      </c>
      <c r="I21" s="29" t="str">
        <f aca="false">IF($A21="","",SUMIF(Augusztus!$A$5:$A$14,$A21,Augusztus!$B$5:$B$14))</f>
        <v/>
      </c>
      <c r="J21" s="29" t="str">
        <f aca="false">IF($A21="","",SUMIF(Szeptember!$A$5:$A$14,$A21,Szeptember!$B$5:$B$14))</f>
        <v/>
      </c>
      <c r="K21" s="29" t="str">
        <f aca="false">IF($A21="","",SUMIF(Október!$A$5:$A$14,$A21,Október!$B$5:$B$14))</f>
        <v/>
      </c>
      <c r="L21" s="29" t="str">
        <f aca="false">IF($A21="","",SUMIF(November!$A$5:$A$14,$A21,November!$B$5:$B$14))</f>
        <v/>
      </c>
      <c r="M21" s="29" t="str">
        <f aca="false">IF($A21="","",SUMIF(December!$A$5:$A$14,$A21,December!$B$5:$B$14))</f>
        <v/>
      </c>
      <c r="N21" s="15" t="str">
        <f aca="false">IF($A21="","",SUM(B21:M21))</f>
        <v/>
      </c>
      <c r="O21" s="25" t="str">
        <f aca="false">IF($A21="","",N21/MAX(1,$Q$1))</f>
        <v/>
      </c>
      <c r="P21" s="30" t="str">
        <f aca="false">IF(OR(N21="",$N$5=0),"",N21/$N$5)</f>
        <v/>
      </c>
    </row>
    <row r="22" customFormat="false" ht="15" hidden="false" customHeight="false" outlineLevel="0" collapsed="false">
      <c r="A22" s="28" t="str">
        <f aca="false">IFERROR(INDEX(_Segéd!$A$2:$A$97,MATCH(11,_Segéd!$B$2:$B$97,0)),"")</f>
        <v/>
      </c>
      <c r="B22" s="29" t="str">
        <f aca="false">IF($A22="","",SUMIF(Január!$A$5:$A$14,$A22,Január!$B$5:$B$14))</f>
        <v/>
      </c>
      <c r="C22" s="29" t="str">
        <f aca="false">IF($A22="","",SUMIF(Február!$A$5:$A$14,$A22,Február!$B$5:$B$14))</f>
        <v/>
      </c>
      <c r="D22" s="29" t="str">
        <f aca="false">IF($A22="","",SUMIF(Március!$A$5:$A$14,$A22,Március!$B$5:$B$14))</f>
        <v/>
      </c>
      <c r="E22" s="29" t="str">
        <f aca="false">IF($A22="","",SUMIF(Április!$A$5:$A$14,$A22,Április!$B$5:$B$14))</f>
        <v/>
      </c>
      <c r="F22" s="29" t="str">
        <f aca="false">IF($A22="","",SUMIF(Május!$A$5:$A$14,$A22,Május!$B$5:$B$14))</f>
        <v/>
      </c>
      <c r="G22" s="29" t="str">
        <f aca="false">IF($A22="","",SUMIF(Június!$A$5:$A$14,$A22,Június!$B$5:$B$14))</f>
        <v/>
      </c>
      <c r="H22" s="29" t="str">
        <f aca="false">IF($A22="","",SUMIF(Július!$A$5:$A$14,$A22,Július!$B$5:$B$14))</f>
        <v/>
      </c>
      <c r="I22" s="29" t="str">
        <f aca="false">IF($A22="","",SUMIF(Augusztus!$A$5:$A$14,$A22,Augusztus!$B$5:$B$14))</f>
        <v/>
      </c>
      <c r="J22" s="29" t="str">
        <f aca="false">IF($A22="","",SUMIF(Szeptember!$A$5:$A$14,$A22,Szeptember!$B$5:$B$14))</f>
        <v/>
      </c>
      <c r="K22" s="29" t="str">
        <f aca="false">IF($A22="","",SUMIF(Október!$A$5:$A$14,$A22,Október!$B$5:$B$14))</f>
        <v/>
      </c>
      <c r="L22" s="29" t="str">
        <f aca="false">IF($A22="","",SUMIF(November!$A$5:$A$14,$A22,November!$B$5:$B$14))</f>
        <v/>
      </c>
      <c r="M22" s="29" t="str">
        <f aca="false">IF($A22="","",SUMIF(December!$A$5:$A$14,$A22,December!$B$5:$B$14))</f>
        <v/>
      </c>
      <c r="N22" s="15" t="str">
        <f aca="false">IF($A22="","",SUM(B22:M22))</f>
        <v/>
      </c>
      <c r="O22" s="25" t="str">
        <f aca="false">IF($A22="","",N22/MAX(1,$Q$1))</f>
        <v/>
      </c>
      <c r="P22" s="30" t="str">
        <f aca="false">IF(OR(N22="",$N$5=0),"",N22/$N$5)</f>
        <v/>
      </c>
    </row>
    <row r="23" customFormat="false" ht="15" hidden="false" customHeight="false" outlineLevel="0" collapsed="false">
      <c r="A23" s="28" t="str">
        <f aca="false">IFERROR(INDEX(_Segéd!$A$2:$A$97,MATCH(12,_Segéd!$B$2:$B$97,0)),"")</f>
        <v/>
      </c>
      <c r="B23" s="29" t="str">
        <f aca="false">IF($A23="","",SUMIF(Január!$A$5:$A$14,$A23,Január!$B$5:$B$14))</f>
        <v/>
      </c>
      <c r="C23" s="29" t="str">
        <f aca="false">IF($A23="","",SUMIF(Február!$A$5:$A$14,$A23,Február!$B$5:$B$14))</f>
        <v/>
      </c>
      <c r="D23" s="29" t="str">
        <f aca="false">IF($A23="","",SUMIF(Március!$A$5:$A$14,$A23,Március!$B$5:$B$14))</f>
        <v/>
      </c>
      <c r="E23" s="29" t="str">
        <f aca="false">IF($A23="","",SUMIF(Április!$A$5:$A$14,$A23,Április!$B$5:$B$14))</f>
        <v/>
      </c>
      <c r="F23" s="29" t="str">
        <f aca="false">IF($A23="","",SUMIF(Május!$A$5:$A$14,$A23,Május!$B$5:$B$14))</f>
        <v/>
      </c>
      <c r="G23" s="29" t="str">
        <f aca="false">IF($A23="","",SUMIF(Június!$A$5:$A$14,$A23,Június!$B$5:$B$14))</f>
        <v/>
      </c>
      <c r="H23" s="29" t="str">
        <f aca="false">IF($A23="","",SUMIF(Július!$A$5:$A$14,$A23,Július!$B$5:$B$14))</f>
        <v/>
      </c>
      <c r="I23" s="29" t="str">
        <f aca="false">IF($A23="","",SUMIF(Augusztus!$A$5:$A$14,$A23,Augusztus!$B$5:$B$14))</f>
        <v/>
      </c>
      <c r="J23" s="29" t="str">
        <f aca="false">IF($A23="","",SUMIF(Szeptember!$A$5:$A$14,$A23,Szeptember!$B$5:$B$14))</f>
        <v/>
      </c>
      <c r="K23" s="29" t="str">
        <f aca="false">IF($A23="","",SUMIF(Október!$A$5:$A$14,$A23,Október!$B$5:$B$14))</f>
        <v/>
      </c>
      <c r="L23" s="29" t="str">
        <f aca="false">IF($A23="","",SUMIF(November!$A$5:$A$14,$A23,November!$B$5:$B$14))</f>
        <v/>
      </c>
      <c r="M23" s="29" t="str">
        <f aca="false">IF($A23="","",SUMIF(December!$A$5:$A$14,$A23,December!$B$5:$B$14))</f>
        <v/>
      </c>
      <c r="N23" s="15" t="str">
        <f aca="false">IF($A23="","",SUM(B23:M23))</f>
        <v/>
      </c>
      <c r="O23" s="25" t="str">
        <f aca="false">IF($A23="","",N23/MAX(1,$Q$1))</f>
        <v/>
      </c>
      <c r="P23" s="30" t="str">
        <f aca="false">IF(OR(N23="",$N$5=0),"",N23/$N$5)</f>
        <v/>
      </c>
    </row>
    <row r="24" customFormat="false" ht="15" hidden="false" customHeight="false" outlineLevel="0" collapsed="false">
      <c r="A24" s="31" t="s">
        <v>41</v>
      </c>
      <c r="B24" s="32" t="s">
        <v>19</v>
      </c>
      <c r="C24" s="32" t="s">
        <v>20</v>
      </c>
      <c r="D24" s="32" t="s">
        <v>21</v>
      </c>
      <c r="E24" s="32" t="s">
        <v>22</v>
      </c>
      <c r="F24" s="32" t="s">
        <v>23</v>
      </c>
      <c r="G24" s="32" t="s">
        <v>24</v>
      </c>
      <c r="H24" s="32" t="s">
        <v>25</v>
      </c>
      <c r="I24" s="32" t="s">
        <v>26</v>
      </c>
      <c r="J24" s="32" t="s">
        <v>27</v>
      </c>
      <c r="K24" s="32" t="s">
        <v>28</v>
      </c>
      <c r="L24" s="32" t="s">
        <v>29</v>
      </c>
      <c r="M24" s="32" t="s">
        <v>30</v>
      </c>
      <c r="N24" s="32" t="s">
        <v>31</v>
      </c>
      <c r="O24" s="32" t="s">
        <v>32</v>
      </c>
      <c r="P24" s="32" t="s">
        <v>33</v>
      </c>
    </row>
    <row r="25" customFormat="false" ht="15" hidden="false" customHeight="false" outlineLevel="0" collapsed="false">
      <c r="A25" s="28" t="str">
        <f aca="false">IFERROR(INDEX(_Segéd!$D$2:$D$121,MATCH(1,_Segéd!$E$2:$E$121,0)),"")</f>
        <v>Vésztartalék</v>
      </c>
      <c r="B25" s="29" t="n">
        <f aca="false">IF($A25="","",SUMIF(Január!$A$18:$A$27,$A25,Január!$B$18:$B$27))</f>
        <v>0</v>
      </c>
      <c r="C25" s="29" t="n">
        <f aca="false">IF($A25="","",SUMIF(Február!$A$18:$A$27,$A25,Február!$B$18:$B$27))</f>
        <v>0</v>
      </c>
      <c r="D25" s="29" t="n">
        <f aca="false">IF($A25="","",SUMIF(Március!$A$18:$A$27,$A25,Március!$B$18:$B$27))</f>
        <v>0</v>
      </c>
      <c r="E25" s="29" t="n">
        <f aca="false">IF($A25="","",SUMIF(Április!$A$18:$A$27,$A25,Április!$B$18:$B$27))</f>
        <v>0</v>
      </c>
      <c r="F25" s="29" t="n">
        <f aca="false">IF($A25="","",SUMIF(Május!$A$18:$A$27,$A25,Május!$B$18:$B$27))</f>
        <v>0</v>
      </c>
      <c r="G25" s="29" t="n">
        <f aca="false">IF($A25="","",SUMIF(Június!$A$18:$A$27,$A25,Június!$B$18:$B$27))</f>
        <v>0</v>
      </c>
      <c r="H25" s="29" t="n">
        <f aca="false">IF($A25="","",SUMIF(Július!$A$18:$A$27,$A25,Július!$B$18:$B$27))</f>
        <v>0</v>
      </c>
      <c r="I25" s="29" t="n">
        <f aca="false">IF($A25="","",SUMIF(Augusztus!$A$18:$A$27,$A25,Augusztus!$B$18:$B$27))</f>
        <v>0</v>
      </c>
      <c r="J25" s="29" t="n">
        <f aca="false">IF($A25="","",SUMIF(Szeptember!$A$18:$A$27,$A25,Szeptember!$B$18:$B$27))</f>
        <v>0</v>
      </c>
      <c r="K25" s="29" t="n">
        <f aca="false">IF($A25="","",SUMIF(Október!$A$18:$A$27,$A25,Október!$B$18:$B$27))</f>
        <v>0</v>
      </c>
      <c r="L25" s="29" t="n">
        <f aca="false">IF($A25="","",SUMIF(November!$A$18:$A$27,$A25,November!$B$18:$B$27))</f>
        <v>0</v>
      </c>
      <c r="M25" s="29" t="n">
        <f aca="false">IF($A25="","",SUMIF(December!$A$18:$A$27,$A25,December!$B$18:$B$27))</f>
        <v>0</v>
      </c>
      <c r="N25" s="15" t="n">
        <f aca="false">IF($A25="","",SUM(B25:M25))</f>
        <v>0</v>
      </c>
      <c r="O25" s="25" t="n">
        <f aca="false">IF($A25="","",N25/MAX(1,$Q$1))</f>
        <v>0</v>
      </c>
      <c r="P25" s="30" t="str">
        <f aca="false">IF(OR(N25="",$N$6=0),"",N25/$N$6)</f>
        <v/>
      </c>
    </row>
    <row r="26" customFormat="false" ht="15" hidden="false" customHeight="false" outlineLevel="0" collapsed="false">
      <c r="A26" s="28" t="str">
        <f aca="false">IFERROR(INDEX(_Segéd!$D$2:$D$121,MATCH(2,_Segéd!$E$2:$E$121,0)),"")</f>
        <v>Lakástakarékpénztár</v>
      </c>
      <c r="B26" s="29" t="n">
        <f aca="false">IF($A26="","",SUMIF(Január!$A$18:$A$27,$A26,Január!$B$18:$B$27))</f>
        <v>0</v>
      </c>
      <c r="C26" s="29" t="n">
        <f aca="false">IF($A26="","",SUMIF(Február!$A$18:$A$27,$A26,Február!$B$18:$B$27))</f>
        <v>0</v>
      </c>
      <c r="D26" s="29" t="n">
        <f aca="false">IF($A26="","",SUMIF(Március!$A$18:$A$27,$A26,Március!$B$18:$B$27))</f>
        <v>0</v>
      </c>
      <c r="E26" s="29" t="n">
        <f aca="false">IF($A26="","",SUMIF(Április!$A$18:$A$27,$A26,Április!$B$18:$B$27))</f>
        <v>0</v>
      </c>
      <c r="F26" s="29" t="n">
        <f aca="false">IF($A26="","",SUMIF(Május!$A$18:$A$27,$A26,Május!$B$18:$B$27))</f>
        <v>0</v>
      </c>
      <c r="G26" s="29" t="n">
        <f aca="false">IF($A26="","",SUMIF(Június!$A$18:$A$27,$A26,Június!$B$18:$B$27))</f>
        <v>0</v>
      </c>
      <c r="H26" s="29" t="n">
        <f aca="false">IF($A26="","",SUMIF(Július!$A$18:$A$27,$A26,Július!$B$18:$B$27))</f>
        <v>0</v>
      </c>
      <c r="I26" s="29" t="n">
        <f aca="false">IF($A26="","",SUMIF(Augusztus!$A$18:$A$27,$A26,Augusztus!$B$18:$B$27))</f>
        <v>0</v>
      </c>
      <c r="J26" s="29" t="n">
        <f aca="false">IF($A26="","",SUMIF(Szeptember!$A$18:$A$27,$A26,Szeptember!$B$18:$B$27))</f>
        <v>0</v>
      </c>
      <c r="K26" s="29" t="n">
        <f aca="false">IF($A26="","",SUMIF(Október!$A$18:$A$27,$A26,Október!$B$18:$B$27))</f>
        <v>0</v>
      </c>
      <c r="L26" s="29" t="n">
        <f aca="false">IF($A26="","",SUMIF(November!$A$18:$A$27,$A26,November!$B$18:$B$27))</f>
        <v>0</v>
      </c>
      <c r="M26" s="29" t="n">
        <f aca="false">IF($A26="","",SUMIF(December!$A$18:$A$27,$A26,December!$B$18:$B$27))</f>
        <v>0</v>
      </c>
      <c r="N26" s="15" t="n">
        <f aca="false">IF($A26="","",SUM(B26:M26))</f>
        <v>0</v>
      </c>
      <c r="O26" s="25" t="n">
        <f aca="false">IF($A26="","",N26/MAX(1,$Q$1))</f>
        <v>0</v>
      </c>
      <c r="P26" s="30" t="str">
        <f aca="false">IF(OR(N26="",$N$6=0),"",N26/$N$6)</f>
        <v/>
      </c>
    </row>
    <row r="27" customFormat="false" ht="15" hidden="false" customHeight="false" outlineLevel="0" collapsed="false">
      <c r="A27" s="28" t="str">
        <f aca="false">IFERROR(INDEX(_Segéd!$D$2:$D$121,MATCH(3,_Segéd!$E$2:$E$121,0)),"")</f>
        <v>Általános cél</v>
      </c>
      <c r="B27" s="29" t="n">
        <f aca="false">IF($A27="","",SUMIF(Január!$A$18:$A$27,$A27,Január!$B$18:$B$27))</f>
        <v>0</v>
      </c>
      <c r="C27" s="29" t="n">
        <f aca="false">IF($A27="","",SUMIF(Február!$A$18:$A$27,$A27,Február!$B$18:$B$27))</f>
        <v>0</v>
      </c>
      <c r="D27" s="29" t="n">
        <f aca="false">IF($A27="","",SUMIF(Március!$A$18:$A$27,$A27,Március!$B$18:$B$27))</f>
        <v>0</v>
      </c>
      <c r="E27" s="29" t="n">
        <f aca="false">IF($A27="","",SUMIF(Április!$A$18:$A$27,$A27,Április!$B$18:$B$27))</f>
        <v>0</v>
      </c>
      <c r="F27" s="29" t="n">
        <f aca="false">IF($A27="","",SUMIF(Május!$A$18:$A$27,$A27,Május!$B$18:$B$27))</f>
        <v>0</v>
      </c>
      <c r="G27" s="29" t="n">
        <f aca="false">IF($A27="","",SUMIF(Június!$A$18:$A$27,$A27,Június!$B$18:$B$27))</f>
        <v>0</v>
      </c>
      <c r="H27" s="29" t="n">
        <f aca="false">IF($A27="","",SUMIF(Július!$A$18:$A$27,$A27,Július!$B$18:$B$27))</f>
        <v>0</v>
      </c>
      <c r="I27" s="29" t="n">
        <f aca="false">IF($A27="","",SUMIF(Augusztus!$A$18:$A$27,$A27,Augusztus!$B$18:$B$27))</f>
        <v>0</v>
      </c>
      <c r="J27" s="29" t="n">
        <f aca="false">IF($A27="","",SUMIF(Szeptember!$A$18:$A$27,$A27,Szeptember!$B$18:$B$27))</f>
        <v>0</v>
      </c>
      <c r="K27" s="29" t="n">
        <f aca="false">IF($A27="","",SUMIF(Október!$A$18:$A$27,$A27,Október!$B$18:$B$27))</f>
        <v>0</v>
      </c>
      <c r="L27" s="29" t="n">
        <f aca="false">IF($A27="","",SUMIF(November!$A$18:$A$27,$A27,November!$B$18:$B$27))</f>
        <v>0</v>
      </c>
      <c r="M27" s="29" t="n">
        <f aca="false">IF($A27="","",SUMIF(December!$A$18:$A$27,$A27,December!$B$18:$B$27))</f>
        <v>0</v>
      </c>
      <c r="N27" s="15" t="n">
        <f aca="false">IF($A27="","",SUM(B27:M27))</f>
        <v>0</v>
      </c>
      <c r="O27" s="25" t="n">
        <f aca="false">IF($A27="","",N27/MAX(1,$Q$1))</f>
        <v>0</v>
      </c>
      <c r="P27" s="30" t="str">
        <f aca="false">IF(OR(N27="",$N$6=0),"",N27/$N$6)</f>
        <v/>
      </c>
    </row>
    <row r="28" customFormat="false" ht="15" hidden="false" customHeight="false" outlineLevel="0" collapsed="false">
      <c r="A28" s="28" t="str">
        <f aca="false">IFERROR(INDEX(_Segéd!$D$2:$D$121,MATCH(4,_Segéd!$E$2:$E$121,0)),"")</f>
        <v>Hosszú távú (min. 10 éves, általános célú)</v>
      </c>
      <c r="B28" s="29" t="n">
        <f aca="false">IF($A28="","",SUMIF(Január!$A$18:$A$27,$A28,Január!$B$18:$B$27))</f>
        <v>0</v>
      </c>
      <c r="C28" s="29" t="n">
        <f aca="false">IF($A28="","",SUMIF(Február!$A$18:$A$27,$A28,Február!$B$18:$B$27))</f>
        <v>0</v>
      </c>
      <c r="D28" s="29" t="n">
        <f aca="false">IF($A28="","",SUMIF(Március!$A$18:$A$27,$A28,Március!$B$18:$B$27))</f>
        <v>0</v>
      </c>
      <c r="E28" s="29" t="n">
        <f aca="false">IF($A28="","",SUMIF(Április!$A$18:$A$27,$A28,Április!$B$18:$B$27))</f>
        <v>0</v>
      </c>
      <c r="F28" s="29" t="n">
        <f aca="false">IF($A28="","",SUMIF(Május!$A$18:$A$27,$A28,Május!$B$18:$B$27))</f>
        <v>0</v>
      </c>
      <c r="G28" s="29" t="n">
        <f aca="false">IF($A28="","",SUMIF(Június!$A$18:$A$27,$A28,Június!$B$18:$B$27))</f>
        <v>0</v>
      </c>
      <c r="H28" s="29" t="n">
        <f aca="false">IF($A28="","",SUMIF(Július!$A$18:$A$27,$A28,Július!$B$18:$B$27))</f>
        <v>0</v>
      </c>
      <c r="I28" s="29" t="n">
        <f aca="false">IF($A28="","",SUMIF(Augusztus!$A$18:$A$27,$A28,Augusztus!$B$18:$B$27))</f>
        <v>0</v>
      </c>
      <c r="J28" s="29" t="n">
        <f aca="false">IF($A28="","",SUMIF(Szeptember!$A$18:$A$27,$A28,Szeptember!$B$18:$B$27))</f>
        <v>0</v>
      </c>
      <c r="K28" s="29" t="n">
        <f aca="false">IF($A28="","",SUMIF(Október!$A$18:$A$27,$A28,Október!$B$18:$B$27))</f>
        <v>0</v>
      </c>
      <c r="L28" s="29" t="n">
        <f aca="false">IF($A28="","",SUMIF(November!$A$18:$A$27,$A28,November!$B$18:$B$27))</f>
        <v>0</v>
      </c>
      <c r="M28" s="29" t="n">
        <f aca="false">IF($A28="","",SUMIF(December!$A$18:$A$27,$A28,December!$B$18:$B$27))</f>
        <v>0</v>
      </c>
      <c r="N28" s="15" t="n">
        <f aca="false">IF($A28="","",SUM(B28:M28))</f>
        <v>0</v>
      </c>
      <c r="O28" s="25" t="n">
        <f aca="false">IF($A28="","",N28/MAX(1,$Q$1))</f>
        <v>0</v>
      </c>
      <c r="P28" s="30" t="str">
        <f aca="false">IF(OR(N28="",$N$6=0),"",N28/$N$6)</f>
        <v/>
      </c>
    </row>
    <row r="29" customFormat="false" ht="15" hidden="false" customHeight="false" outlineLevel="0" collapsed="false">
      <c r="A29" s="28" t="str">
        <f aca="false">IFERROR(INDEX(_Segéd!$D$2:$D$121,MATCH(5,_Segéd!$E$2:$E$121,0)),"")</f>
        <v>Hosszú távú (min. 10 éves, lakás célú)</v>
      </c>
      <c r="B29" s="29" t="n">
        <f aca="false">IF($A29="","",SUMIF(Január!$A$18:$A$27,$A29,Január!$B$18:$B$27))</f>
        <v>0</v>
      </c>
      <c r="C29" s="29" t="n">
        <f aca="false">IF($A29="","",SUMIF(Február!$A$18:$A$27,$A29,Február!$B$18:$B$27))</f>
        <v>0</v>
      </c>
      <c r="D29" s="29" t="n">
        <f aca="false">IF($A29="","",SUMIF(Március!$A$18:$A$27,$A29,Március!$B$18:$B$27))</f>
        <v>0</v>
      </c>
      <c r="E29" s="29" t="n">
        <f aca="false">IF($A29="","",SUMIF(Április!$A$18:$A$27,$A29,Április!$B$18:$B$27))</f>
        <v>0</v>
      </c>
      <c r="F29" s="29" t="n">
        <f aca="false">IF($A29="","",SUMIF(Május!$A$18:$A$27,$A29,Május!$B$18:$B$27))</f>
        <v>0</v>
      </c>
      <c r="G29" s="29" t="n">
        <f aca="false">IF($A29="","",SUMIF(Június!$A$18:$A$27,$A29,Június!$B$18:$B$27))</f>
        <v>0</v>
      </c>
      <c r="H29" s="29" t="n">
        <f aca="false">IF($A29="","",SUMIF(Július!$A$18:$A$27,$A29,Július!$B$18:$B$27))</f>
        <v>0</v>
      </c>
      <c r="I29" s="29" t="n">
        <f aca="false">IF($A29="","",SUMIF(Augusztus!$A$18:$A$27,$A29,Augusztus!$B$18:$B$27))</f>
        <v>0</v>
      </c>
      <c r="J29" s="29" t="n">
        <f aca="false">IF($A29="","",SUMIF(Szeptember!$A$18:$A$27,$A29,Szeptember!$B$18:$B$27))</f>
        <v>0</v>
      </c>
      <c r="K29" s="29" t="n">
        <f aca="false">IF($A29="","",SUMIF(Október!$A$18:$A$27,$A29,Október!$B$18:$B$27))</f>
        <v>0</v>
      </c>
      <c r="L29" s="29" t="n">
        <f aca="false">IF($A29="","",SUMIF(November!$A$18:$A$27,$A29,November!$B$18:$B$27))</f>
        <v>0</v>
      </c>
      <c r="M29" s="29" t="n">
        <f aca="false">IF($A29="","",SUMIF(December!$A$18:$A$27,$A29,December!$B$18:$B$27))</f>
        <v>0</v>
      </c>
      <c r="N29" s="15" t="n">
        <f aca="false">IF($A29="","",SUM(B29:M29))</f>
        <v>0</v>
      </c>
      <c r="O29" s="25" t="n">
        <f aca="false">IF($A29="","",N29/MAX(1,$Q$1))</f>
        <v>0</v>
      </c>
      <c r="P29" s="30" t="str">
        <f aca="false">IF(OR(N29="",$N$6=0),"",N29/$N$6)</f>
        <v/>
      </c>
    </row>
    <row r="30" customFormat="false" ht="15" hidden="false" customHeight="false" outlineLevel="0" collapsed="false">
      <c r="A30" s="28" t="str">
        <f aca="false">IFERROR(INDEX(_Segéd!$D$2:$D$121,MATCH(6,_Segéd!$E$2:$E$121,0)),"")</f>
        <v>Hosszú távú (min. 10 éves, gyermek jövője célú)</v>
      </c>
      <c r="B30" s="29" t="n">
        <f aca="false">IF($A30="","",SUMIF(Január!$A$18:$A$27,$A30,Január!$B$18:$B$27))</f>
        <v>0</v>
      </c>
      <c r="C30" s="29" t="n">
        <f aca="false">IF($A30="","",SUMIF(Február!$A$18:$A$27,$A30,Február!$B$18:$B$27))</f>
        <v>0</v>
      </c>
      <c r="D30" s="29" t="n">
        <f aca="false">IF($A30="","",SUMIF(Március!$A$18:$A$27,$A30,Március!$B$18:$B$27))</f>
        <v>0</v>
      </c>
      <c r="E30" s="29" t="n">
        <f aca="false">IF($A30="","",SUMIF(Április!$A$18:$A$27,$A30,Április!$B$18:$B$27))</f>
        <v>0</v>
      </c>
      <c r="F30" s="29" t="n">
        <f aca="false">IF($A30="","",SUMIF(Május!$A$18:$A$27,$A30,Május!$B$18:$B$27))</f>
        <v>0</v>
      </c>
      <c r="G30" s="29" t="n">
        <f aca="false">IF($A30="","",SUMIF(Június!$A$18:$A$27,$A30,Június!$B$18:$B$27))</f>
        <v>0</v>
      </c>
      <c r="H30" s="29" t="n">
        <f aca="false">IF($A30="","",SUMIF(Július!$A$18:$A$27,$A30,Július!$B$18:$B$27))</f>
        <v>0</v>
      </c>
      <c r="I30" s="29" t="n">
        <f aca="false">IF($A30="","",SUMIF(Augusztus!$A$18:$A$27,$A30,Augusztus!$B$18:$B$27))</f>
        <v>0</v>
      </c>
      <c r="J30" s="29" t="n">
        <f aca="false">IF($A30="","",SUMIF(Szeptember!$A$18:$A$27,$A30,Szeptember!$B$18:$B$27))</f>
        <v>0</v>
      </c>
      <c r="K30" s="29" t="n">
        <f aca="false">IF($A30="","",SUMIF(Október!$A$18:$A$27,$A30,Október!$B$18:$B$27))</f>
        <v>0</v>
      </c>
      <c r="L30" s="29" t="n">
        <f aca="false">IF($A30="","",SUMIF(November!$A$18:$A$27,$A30,November!$B$18:$B$27))</f>
        <v>0</v>
      </c>
      <c r="M30" s="29" t="n">
        <f aca="false">IF($A30="","",SUMIF(December!$A$18:$A$27,$A30,December!$B$18:$B$27))</f>
        <v>0</v>
      </c>
      <c r="N30" s="15" t="n">
        <f aca="false">IF($A30="","",SUM(B30:M30))</f>
        <v>0</v>
      </c>
      <c r="O30" s="25" t="n">
        <f aca="false">IF($A30="","",N30/MAX(1,$Q$1))</f>
        <v>0</v>
      </c>
      <c r="P30" s="30" t="str">
        <f aca="false">IF(OR(N30="",$N$6=0),"",N30/$N$6)</f>
        <v/>
      </c>
    </row>
    <row r="31" customFormat="false" ht="15" hidden="false" customHeight="false" outlineLevel="0" collapsed="false">
      <c r="A31" s="28" t="str">
        <f aca="false">IFERROR(INDEX(_Segéd!$D$2:$D$121,MATCH(7,_Segéd!$E$2:$E$121,0)),"")</f>
        <v>Hosszú távú (min. 15 éves, nyugdíj célú)</v>
      </c>
      <c r="B31" s="29" t="n">
        <f aca="false">IF($A31="","",SUMIF(Január!$A$18:$A$27,$A31,Január!$B$18:$B$27))</f>
        <v>0</v>
      </c>
      <c r="C31" s="29" t="n">
        <f aca="false">IF($A31="","",SUMIF(Február!$A$18:$A$27,$A31,Február!$B$18:$B$27))</f>
        <v>0</v>
      </c>
      <c r="D31" s="29" t="n">
        <f aca="false">IF($A31="","",SUMIF(Március!$A$18:$A$27,$A31,Március!$B$18:$B$27))</f>
        <v>0</v>
      </c>
      <c r="E31" s="29" t="n">
        <f aca="false">IF($A31="","",SUMIF(Április!$A$18:$A$27,$A31,Április!$B$18:$B$27))</f>
        <v>0</v>
      </c>
      <c r="F31" s="29" t="n">
        <f aca="false">IF($A31="","",SUMIF(Május!$A$18:$A$27,$A31,Május!$B$18:$B$27))</f>
        <v>0</v>
      </c>
      <c r="G31" s="29" t="n">
        <f aca="false">IF($A31="","",SUMIF(Június!$A$18:$A$27,$A31,Június!$B$18:$B$27))</f>
        <v>0</v>
      </c>
      <c r="H31" s="29" t="n">
        <f aca="false">IF($A31="","",SUMIF(Július!$A$18:$A$27,$A31,Július!$B$18:$B$27))</f>
        <v>0</v>
      </c>
      <c r="I31" s="29" t="n">
        <f aca="false">IF($A31="","",SUMIF(Augusztus!$A$18:$A$27,$A31,Augusztus!$B$18:$B$27))</f>
        <v>0</v>
      </c>
      <c r="J31" s="29" t="n">
        <f aca="false">IF($A31="","",SUMIF(Szeptember!$A$18:$A$27,$A31,Szeptember!$B$18:$B$27))</f>
        <v>0</v>
      </c>
      <c r="K31" s="29" t="n">
        <f aca="false">IF($A31="","",SUMIF(Október!$A$18:$A$27,$A31,Október!$B$18:$B$27))</f>
        <v>0</v>
      </c>
      <c r="L31" s="29" t="n">
        <f aca="false">IF($A31="","",SUMIF(November!$A$18:$A$27,$A31,November!$B$18:$B$27))</f>
        <v>0</v>
      </c>
      <c r="M31" s="29" t="n">
        <f aca="false">IF($A31="","",SUMIF(December!$A$18:$A$27,$A31,December!$B$18:$B$27))</f>
        <v>0</v>
      </c>
      <c r="N31" s="15" t="n">
        <f aca="false">IF($A31="","",SUM(B31:M31))</f>
        <v>0</v>
      </c>
      <c r="O31" s="25" t="n">
        <f aca="false">IF($A31="","",N31/MAX(1,$Q$1))</f>
        <v>0</v>
      </c>
      <c r="P31" s="30" t="str">
        <f aca="false">IF(OR(N31="",$N$6=0),"",N31/$N$6)</f>
        <v/>
      </c>
    </row>
    <row r="32" customFormat="false" ht="15" hidden="false" customHeight="false" outlineLevel="0" collapsed="false">
      <c r="A32" s="28" t="str">
        <f aca="false">IFERROR(INDEX(_Segéd!$D$2:$D$121,MATCH(8,_Segéd!$E$2:$E$121,0)),"")</f>
        <v>Nyugdíjbiztosítás</v>
      </c>
      <c r="B32" s="29" t="n">
        <f aca="false">IF($A32="","",SUMIF(Január!$A$18:$A$27,$A32,Január!$B$18:$B$27))</f>
        <v>0</v>
      </c>
      <c r="C32" s="29" t="n">
        <f aca="false">IF($A32="","",SUMIF(Február!$A$18:$A$27,$A32,Február!$B$18:$B$27))</f>
        <v>0</v>
      </c>
      <c r="D32" s="29" t="n">
        <f aca="false">IF($A32="","",SUMIF(Március!$A$18:$A$27,$A32,Március!$B$18:$B$27))</f>
        <v>0</v>
      </c>
      <c r="E32" s="29" t="n">
        <f aca="false">IF($A32="","",SUMIF(Április!$A$18:$A$27,$A32,Április!$B$18:$B$27))</f>
        <v>0</v>
      </c>
      <c r="F32" s="29" t="n">
        <f aca="false">IF($A32="","",SUMIF(Május!$A$18:$A$27,$A32,Május!$B$18:$B$27))</f>
        <v>0</v>
      </c>
      <c r="G32" s="29" t="n">
        <f aca="false">IF($A32="","",SUMIF(Június!$A$18:$A$27,$A32,Június!$B$18:$B$27))</f>
        <v>0</v>
      </c>
      <c r="H32" s="29" t="n">
        <f aca="false">IF($A32="","",SUMIF(Július!$A$18:$A$27,$A32,Július!$B$18:$B$27))</f>
        <v>0</v>
      </c>
      <c r="I32" s="29" t="n">
        <f aca="false">IF($A32="","",SUMIF(Augusztus!$A$18:$A$27,$A32,Augusztus!$B$18:$B$27))</f>
        <v>0</v>
      </c>
      <c r="J32" s="29" t="n">
        <f aca="false">IF($A32="","",SUMIF(Szeptember!$A$18:$A$27,$A32,Szeptember!$B$18:$B$27))</f>
        <v>0</v>
      </c>
      <c r="K32" s="29" t="n">
        <f aca="false">IF($A32="","",SUMIF(Október!$A$18:$A$27,$A32,Október!$B$18:$B$27))</f>
        <v>0</v>
      </c>
      <c r="L32" s="29" t="n">
        <f aca="false">IF($A32="","",SUMIF(November!$A$18:$A$27,$A32,November!$B$18:$B$27))</f>
        <v>0</v>
      </c>
      <c r="M32" s="29" t="n">
        <f aca="false">IF($A32="","",SUMIF(December!$A$18:$A$27,$A32,December!$B$18:$B$27))</f>
        <v>0</v>
      </c>
      <c r="N32" s="15" t="n">
        <f aca="false">IF($A32="","",SUM(B32:M32))</f>
        <v>0</v>
      </c>
      <c r="O32" s="25" t="n">
        <f aca="false">IF($A32="","",N32/MAX(1,$Q$1))</f>
        <v>0</v>
      </c>
      <c r="P32" s="30" t="str">
        <f aca="false">IF(OR(N32="",$N$6=0),"",N32/$N$6)</f>
        <v/>
      </c>
    </row>
    <row r="33" customFormat="false" ht="15" hidden="false" customHeight="false" outlineLevel="0" collapsed="false">
      <c r="A33" s="28" t="str">
        <f aca="false">IFERROR(INDEX(_Segéd!$D$2:$D$121,MATCH(9,_Segéd!$E$2:$E$121,0)),"")</f>
        <v/>
      </c>
      <c r="B33" s="29" t="str">
        <f aca="false">IF($A33="","",SUMIF(Január!$A$18:$A$27,$A33,Január!$B$18:$B$27))</f>
        <v/>
      </c>
      <c r="C33" s="29" t="str">
        <f aca="false">IF($A33="","",SUMIF(Február!$A$18:$A$27,$A33,Február!$B$18:$B$27))</f>
        <v/>
      </c>
      <c r="D33" s="29" t="str">
        <f aca="false">IF($A33="","",SUMIF(Március!$A$18:$A$27,$A33,Március!$B$18:$B$27))</f>
        <v/>
      </c>
      <c r="E33" s="29" t="str">
        <f aca="false">IF($A33="","",SUMIF(Április!$A$18:$A$27,$A33,Április!$B$18:$B$27))</f>
        <v/>
      </c>
      <c r="F33" s="29" t="str">
        <f aca="false">IF($A33="","",SUMIF(Május!$A$18:$A$27,$A33,Május!$B$18:$B$27))</f>
        <v/>
      </c>
      <c r="G33" s="29" t="str">
        <f aca="false">IF($A33="","",SUMIF(Június!$A$18:$A$27,$A33,Június!$B$18:$B$27))</f>
        <v/>
      </c>
      <c r="H33" s="29" t="str">
        <f aca="false">IF($A33="","",SUMIF(Július!$A$18:$A$27,$A33,Július!$B$18:$B$27))</f>
        <v/>
      </c>
      <c r="I33" s="29" t="str">
        <f aca="false">IF($A33="","",SUMIF(Augusztus!$A$18:$A$27,$A33,Augusztus!$B$18:$B$27))</f>
        <v/>
      </c>
      <c r="J33" s="29" t="str">
        <f aca="false">IF($A33="","",SUMIF(Szeptember!$A$18:$A$27,$A33,Szeptember!$B$18:$B$27))</f>
        <v/>
      </c>
      <c r="K33" s="29" t="str">
        <f aca="false">IF($A33="","",SUMIF(Október!$A$18:$A$27,$A33,Október!$B$18:$B$27))</f>
        <v/>
      </c>
      <c r="L33" s="29" t="str">
        <f aca="false">IF($A33="","",SUMIF(November!$A$18:$A$27,$A33,November!$B$18:$B$27))</f>
        <v/>
      </c>
      <c r="M33" s="29" t="str">
        <f aca="false">IF($A33="","",SUMIF(December!$A$18:$A$27,$A33,December!$B$18:$B$27))</f>
        <v/>
      </c>
      <c r="N33" s="15" t="str">
        <f aca="false">IF($A33="","",SUM(B33:M33))</f>
        <v/>
      </c>
      <c r="O33" s="25" t="str">
        <f aca="false">IF($A33="","",N33/MAX(1,$Q$1))</f>
        <v/>
      </c>
      <c r="P33" s="30" t="str">
        <f aca="false">IF(OR(N33="",$N$6=0),"",N33/$N$6)</f>
        <v/>
      </c>
    </row>
    <row r="34" customFormat="false" ht="15" hidden="false" customHeight="false" outlineLevel="0" collapsed="false">
      <c r="A34" s="28" t="str">
        <f aca="false">IFERROR(INDEX(_Segéd!$D$2:$D$121,MATCH(10,_Segéd!$E$2:$E$121,0)),"")</f>
        <v/>
      </c>
      <c r="B34" s="29" t="str">
        <f aca="false">IF($A34="","",SUMIF(Január!$A$18:$A$27,$A34,Január!$B$18:$B$27))</f>
        <v/>
      </c>
      <c r="C34" s="29" t="str">
        <f aca="false">IF($A34="","",SUMIF(Február!$A$18:$A$27,$A34,Február!$B$18:$B$27))</f>
        <v/>
      </c>
      <c r="D34" s="29" t="str">
        <f aca="false">IF($A34="","",SUMIF(Március!$A$18:$A$27,$A34,Március!$B$18:$B$27))</f>
        <v/>
      </c>
      <c r="E34" s="29" t="str">
        <f aca="false">IF($A34="","",SUMIF(Április!$A$18:$A$27,$A34,Április!$B$18:$B$27))</f>
        <v/>
      </c>
      <c r="F34" s="29" t="str">
        <f aca="false">IF($A34="","",SUMIF(Május!$A$18:$A$27,$A34,Május!$B$18:$B$27))</f>
        <v/>
      </c>
      <c r="G34" s="29" t="str">
        <f aca="false">IF($A34="","",SUMIF(Június!$A$18:$A$27,$A34,Június!$B$18:$B$27))</f>
        <v/>
      </c>
      <c r="H34" s="29" t="str">
        <f aca="false">IF($A34="","",SUMIF(Július!$A$18:$A$27,$A34,Július!$B$18:$B$27))</f>
        <v/>
      </c>
      <c r="I34" s="29" t="str">
        <f aca="false">IF($A34="","",SUMIF(Augusztus!$A$18:$A$27,$A34,Augusztus!$B$18:$B$27))</f>
        <v/>
      </c>
      <c r="J34" s="29" t="str">
        <f aca="false">IF($A34="","",SUMIF(Szeptember!$A$18:$A$27,$A34,Szeptember!$B$18:$B$27))</f>
        <v/>
      </c>
      <c r="K34" s="29" t="str">
        <f aca="false">IF($A34="","",SUMIF(Október!$A$18:$A$27,$A34,Október!$B$18:$B$27))</f>
        <v/>
      </c>
      <c r="L34" s="29" t="str">
        <f aca="false">IF($A34="","",SUMIF(November!$A$18:$A$27,$A34,November!$B$18:$B$27))</f>
        <v/>
      </c>
      <c r="M34" s="29" t="str">
        <f aca="false">IF($A34="","",SUMIF(December!$A$18:$A$27,$A34,December!$B$18:$B$27))</f>
        <v/>
      </c>
      <c r="N34" s="15" t="str">
        <f aca="false">IF($A34="","",SUM(B34:M34))</f>
        <v/>
      </c>
      <c r="O34" s="25" t="str">
        <f aca="false">IF($A34="","",N34/MAX(1,$Q$1))</f>
        <v/>
      </c>
      <c r="P34" s="30" t="str">
        <f aca="false">IF(OR(N34="",$N$6=0),"",N34/$N$6)</f>
        <v/>
      </c>
    </row>
    <row r="35" customFormat="false" ht="15" hidden="false" customHeight="false" outlineLevel="0" collapsed="false">
      <c r="A35" s="28" t="str">
        <f aca="false">IFERROR(INDEX(_Segéd!$D$2:$D$121,MATCH(11,_Segéd!$E$2:$E$121,0)),"")</f>
        <v/>
      </c>
      <c r="B35" s="29" t="str">
        <f aca="false">IF($A35="","",SUMIF(Január!$A$18:$A$27,$A35,Január!$B$18:$B$27))</f>
        <v/>
      </c>
      <c r="C35" s="29" t="str">
        <f aca="false">IF($A35="","",SUMIF(Február!$A$18:$A$27,$A35,Február!$B$18:$B$27))</f>
        <v/>
      </c>
      <c r="D35" s="29" t="str">
        <f aca="false">IF($A35="","",SUMIF(Március!$A$18:$A$27,$A35,Március!$B$18:$B$27))</f>
        <v/>
      </c>
      <c r="E35" s="29" t="str">
        <f aca="false">IF($A35="","",SUMIF(Április!$A$18:$A$27,$A35,Április!$B$18:$B$27))</f>
        <v/>
      </c>
      <c r="F35" s="29" t="str">
        <f aca="false">IF($A35="","",SUMIF(Május!$A$18:$A$27,$A35,Május!$B$18:$B$27))</f>
        <v/>
      </c>
      <c r="G35" s="29" t="str">
        <f aca="false">IF($A35="","",SUMIF(Június!$A$18:$A$27,$A35,Június!$B$18:$B$27))</f>
        <v/>
      </c>
      <c r="H35" s="29" t="str">
        <f aca="false">IF($A35="","",SUMIF(Július!$A$18:$A$27,$A35,Július!$B$18:$B$27))</f>
        <v/>
      </c>
      <c r="I35" s="29" t="str">
        <f aca="false">IF($A35="","",SUMIF(Augusztus!$A$18:$A$27,$A35,Augusztus!$B$18:$B$27))</f>
        <v/>
      </c>
      <c r="J35" s="29" t="str">
        <f aca="false">IF($A35="","",SUMIF(Szeptember!$A$18:$A$27,$A35,Szeptember!$B$18:$B$27))</f>
        <v/>
      </c>
      <c r="K35" s="29" t="str">
        <f aca="false">IF($A35="","",SUMIF(Október!$A$18:$A$27,$A35,Október!$B$18:$B$27))</f>
        <v/>
      </c>
      <c r="L35" s="29" t="str">
        <f aca="false">IF($A35="","",SUMIF(November!$A$18:$A$27,$A35,November!$B$18:$B$27))</f>
        <v/>
      </c>
      <c r="M35" s="29" t="str">
        <f aca="false">IF($A35="","",SUMIF(December!$A$18:$A$27,$A35,December!$B$18:$B$27))</f>
        <v/>
      </c>
      <c r="N35" s="15" t="str">
        <f aca="false">IF($A35="","",SUM(B35:M35))</f>
        <v/>
      </c>
      <c r="O35" s="25" t="str">
        <f aca="false">IF($A35="","",N35/MAX(1,$Q$1))</f>
        <v/>
      </c>
      <c r="P35" s="30" t="str">
        <f aca="false">IF(OR(N35="",$N$6=0),"",N35/$N$6)</f>
        <v/>
      </c>
    </row>
    <row r="36" customFormat="false" ht="15" hidden="false" customHeight="false" outlineLevel="0" collapsed="false">
      <c r="A36" s="28" t="str">
        <f aca="false">IFERROR(INDEX(_Segéd!$D$2:$D$121,MATCH(12,_Segéd!$E$2:$E$121,0)),"")</f>
        <v/>
      </c>
      <c r="B36" s="29" t="str">
        <f aca="false">IF($A36="","",SUMIF(Január!$A$18:$A$27,$A36,Január!$B$18:$B$27))</f>
        <v/>
      </c>
      <c r="C36" s="29" t="str">
        <f aca="false">IF($A36="","",SUMIF(Február!$A$18:$A$27,$A36,Február!$B$18:$B$27))</f>
        <v/>
      </c>
      <c r="D36" s="29" t="str">
        <f aca="false">IF($A36="","",SUMIF(Március!$A$18:$A$27,$A36,Március!$B$18:$B$27))</f>
        <v/>
      </c>
      <c r="E36" s="29" t="str">
        <f aca="false">IF($A36="","",SUMIF(Április!$A$18:$A$27,$A36,Április!$B$18:$B$27))</f>
        <v/>
      </c>
      <c r="F36" s="29" t="str">
        <f aca="false">IF($A36="","",SUMIF(Május!$A$18:$A$27,$A36,Május!$B$18:$B$27))</f>
        <v/>
      </c>
      <c r="G36" s="29" t="str">
        <f aca="false">IF($A36="","",SUMIF(Június!$A$18:$A$27,$A36,Június!$B$18:$B$27))</f>
        <v/>
      </c>
      <c r="H36" s="29" t="str">
        <f aca="false">IF($A36="","",SUMIF(Július!$A$18:$A$27,$A36,Július!$B$18:$B$27))</f>
        <v/>
      </c>
      <c r="I36" s="29" t="str">
        <f aca="false">IF($A36="","",SUMIF(Augusztus!$A$18:$A$27,$A36,Augusztus!$B$18:$B$27))</f>
        <v/>
      </c>
      <c r="J36" s="29" t="str">
        <f aca="false">IF($A36="","",SUMIF(Szeptember!$A$18:$A$27,$A36,Szeptember!$B$18:$B$27))</f>
        <v/>
      </c>
      <c r="K36" s="29" t="str">
        <f aca="false">IF($A36="","",SUMIF(Október!$A$18:$A$27,$A36,Október!$B$18:$B$27))</f>
        <v/>
      </c>
      <c r="L36" s="29" t="str">
        <f aca="false">IF($A36="","",SUMIF(November!$A$18:$A$27,$A36,November!$B$18:$B$27))</f>
        <v/>
      </c>
      <c r="M36" s="29" t="str">
        <f aca="false">IF($A36="","",SUMIF(December!$A$18:$A$27,$A36,December!$B$18:$B$27))</f>
        <v/>
      </c>
      <c r="N36" s="15" t="str">
        <f aca="false">IF($A36="","",SUM(B36:M36))</f>
        <v/>
      </c>
      <c r="O36" s="25" t="str">
        <f aca="false">IF($A36="","",N36/MAX(1,$Q$1))</f>
        <v/>
      </c>
      <c r="P36" s="30" t="str">
        <f aca="false">IF(OR(N36="",$N$6=0),"",N36/$N$6)</f>
        <v/>
      </c>
    </row>
    <row r="37" customFormat="false" ht="15" hidden="false" customHeight="false" outlineLevel="0" collapsed="false">
      <c r="A37" s="28" t="str">
        <f aca="false">IFERROR(INDEX(_Segéd!$D$2:$D$121,MATCH(13,_Segéd!$E$2:$E$121,0)),"")</f>
        <v/>
      </c>
      <c r="B37" s="29" t="str">
        <f aca="false">IF($A37="","",SUMIF(Január!$A$18:$A$27,$A37,Január!$B$18:$B$27))</f>
        <v/>
      </c>
      <c r="C37" s="29" t="str">
        <f aca="false">IF($A37="","",SUMIF(Február!$A$18:$A$27,$A37,Február!$B$18:$B$27))</f>
        <v/>
      </c>
      <c r="D37" s="29" t="str">
        <f aca="false">IF($A37="","",SUMIF(Március!$A$18:$A$27,$A37,Március!$B$18:$B$27))</f>
        <v/>
      </c>
      <c r="E37" s="29" t="str">
        <f aca="false">IF($A37="","",SUMIF(Április!$A$18:$A$27,$A37,Április!$B$18:$B$27))</f>
        <v/>
      </c>
      <c r="F37" s="29" t="str">
        <f aca="false">IF($A37="","",SUMIF(Május!$A$18:$A$27,$A37,Május!$B$18:$B$27))</f>
        <v/>
      </c>
      <c r="G37" s="29" t="str">
        <f aca="false">IF($A37="","",SUMIF(Június!$A$18:$A$27,$A37,Június!$B$18:$B$27))</f>
        <v/>
      </c>
      <c r="H37" s="29" t="str">
        <f aca="false">IF($A37="","",SUMIF(Július!$A$18:$A$27,$A37,Július!$B$18:$B$27))</f>
        <v/>
      </c>
      <c r="I37" s="29" t="str">
        <f aca="false">IF($A37="","",SUMIF(Augusztus!$A$18:$A$27,$A37,Augusztus!$B$18:$B$27))</f>
        <v/>
      </c>
      <c r="J37" s="29" t="str">
        <f aca="false">IF($A37="","",SUMIF(Szeptember!$A$18:$A$27,$A37,Szeptember!$B$18:$B$27))</f>
        <v/>
      </c>
      <c r="K37" s="29" t="str">
        <f aca="false">IF($A37="","",SUMIF(Október!$A$18:$A$27,$A37,Október!$B$18:$B$27))</f>
        <v/>
      </c>
      <c r="L37" s="29" t="str">
        <f aca="false">IF($A37="","",SUMIF(November!$A$18:$A$27,$A37,November!$B$18:$B$27))</f>
        <v/>
      </c>
      <c r="M37" s="29" t="str">
        <f aca="false">IF($A37="","",SUMIF(December!$A$18:$A$27,$A37,December!$B$18:$B$27))</f>
        <v/>
      </c>
      <c r="N37" s="15" t="str">
        <f aca="false">IF($A37="","",SUM(B37:M37))</f>
        <v/>
      </c>
      <c r="O37" s="25" t="str">
        <f aca="false">IF($A37="","",N37/MAX(1,$Q$1))</f>
        <v/>
      </c>
      <c r="P37" s="30" t="str">
        <f aca="false">IF(OR(N37="",$N$6=0),"",N37/$N$6)</f>
        <v/>
      </c>
    </row>
    <row r="38" customFormat="false" ht="15" hidden="false" customHeight="false" outlineLevel="0" collapsed="false">
      <c r="A38" s="28" t="str">
        <f aca="false">IFERROR(INDEX(_Segéd!$D$2:$D$121,MATCH(14,_Segéd!$E$2:$E$121,0)),"")</f>
        <v/>
      </c>
      <c r="B38" s="29" t="str">
        <f aca="false">IF($A38="","",SUMIF(Január!$A$18:$A$27,$A38,Január!$B$18:$B$27))</f>
        <v/>
      </c>
      <c r="C38" s="29" t="str">
        <f aca="false">IF($A38="","",SUMIF(Február!$A$18:$A$27,$A38,Február!$B$18:$B$27))</f>
        <v/>
      </c>
      <c r="D38" s="29" t="str">
        <f aca="false">IF($A38="","",SUMIF(Március!$A$18:$A$27,$A38,Március!$B$18:$B$27))</f>
        <v/>
      </c>
      <c r="E38" s="29" t="str">
        <f aca="false">IF($A38="","",SUMIF(Április!$A$18:$A$27,$A38,Április!$B$18:$B$27))</f>
        <v/>
      </c>
      <c r="F38" s="29" t="str">
        <f aca="false">IF($A38="","",SUMIF(Május!$A$18:$A$27,$A38,Május!$B$18:$B$27))</f>
        <v/>
      </c>
      <c r="G38" s="29" t="str">
        <f aca="false">IF($A38="","",SUMIF(Június!$A$18:$A$27,$A38,Június!$B$18:$B$27))</f>
        <v/>
      </c>
      <c r="H38" s="29" t="str">
        <f aca="false">IF($A38="","",SUMIF(Július!$A$18:$A$27,$A38,Július!$B$18:$B$27))</f>
        <v/>
      </c>
      <c r="I38" s="29" t="str">
        <f aca="false">IF($A38="","",SUMIF(Augusztus!$A$18:$A$27,$A38,Augusztus!$B$18:$B$27))</f>
        <v/>
      </c>
      <c r="J38" s="29" t="str">
        <f aca="false">IF($A38="","",SUMIF(Szeptember!$A$18:$A$27,$A38,Szeptember!$B$18:$B$27))</f>
        <v/>
      </c>
      <c r="K38" s="29" t="str">
        <f aca="false">IF($A38="","",SUMIF(Október!$A$18:$A$27,$A38,Október!$B$18:$B$27))</f>
        <v/>
      </c>
      <c r="L38" s="29" t="str">
        <f aca="false">IF($A38="","",SUMIF(November!$A$18:$A$27,$A38,November!$B$18:$B$27))</f>
        <v/>
      </c>
      <c r="M38" s="29" t="str">
        <f aca="false">IF($A38="","",SUMIF(December!$A$18:$A$27,$A38,December!$B$18:$B$27))</f>
        <v/>
      </c>
      <c r="N38" s="15" t="str">
        <f aca="false">IF($A38="","",SUM(B38:M38))</f>
        <v/>
      </c>
      <c r="O38" s="25" t="str">
        <f aca="false">IF($A38="","",N38/MAX(1,$Q$1))</f>
        <v/>
      </c>
      <c r="P38" s="30" t="str">
        <f aca="false">IF(OR(N38="",$N$6=0),"",N38/$N$6)</f>
        <v/>
      </c>
    </row>
    <row r="39" customFormat="false" ht="15" hidden="false" customHeight="false" outlineLevel="0" collapsed="false">
      <c r="A39" s="33" t="s">
        <v>42</v>
      </c>
      <c r="B39" s="34" t="s">
        <v>19</v>
      </c>
      <c r="C39" s="34" t="s">
        <v>20</v>
      </c>
      <c r="D39" s="34" t="s">
        <v>21</v>
      </c>
      <c r="E39" s="34" t="s">
        <v>22</v>
      </c>
      <c r="F39" s="34" t="s">
        <v>23</v>
      </c>
      <c r="G39" s="34" t="s">
        <v>24</v>
      </c>
      <c r="H39" s="34" t="s">
        <v>25</v>
      </c>
      <c r="I39" s="34" t="s">
        <v>26</v>
      </c>
      <c r="J39" s="34" t="s">
        <v>27</v>
      </c>
      <c r="K39" s="34" t="s">
        <v>28</v>
      </c>
      <c r="L39" s="34" t="s">
        <v>29</v>
      </c>
      <c r="M39" s="34" t="s">
        <v>30</v>
      </c>
      <c r="N39" s="34" t="s">
        <v>31</v>
      </c>
      <c r="O39" s="34" t="s">
        <v>32</v>
      </c>
      <c r="P39" s="34" t="s">
        <v>33</v>
      </c>
    </row>
    <row r="40" customFormat="false" ht="15" hidden="false" customHeight="false" outlineLevel="0" collapsed="false">
      <c r="A40" s="35" t="s">
        <v>43</v>
      </c>
      <c r="B40" s="14" t="n">
        <f aca="false">Január!C35</f>
        <v>0</v>
      </c>
      <c r="C40" s="14" t="n">
        <f aca="false">Február!C35</f>
        <v>0</v>
      </c>
      <c r="D40" s="14" t="n">
        <f aca="false">Március!C35</f>
        <v>0</v>
      </c>
      <c r="E40" s="14" t="n">
        <f aca="false">Április!C35</f>
        <v>0</v>
      </c>
      <c r="F40" s="14" t="n">
        <f aca="false">Május!C35</f>
        <v>0</v>
      </c>
      <c r="G40" s="14" t="n">
        <f aca="false">Június!C35</f>
        <v>0</v>
      </c>
      <c r="H40" s="14" t="n">
        <f aca="false">Július!C35</f>
        <v>0</v>
      </c>
      <c r="I40" s="14" t="n">
        <f aca="false">Augusztus!C35</f>
        <v>0</v>
      </c>
      <c r="J40" s="14" t="n">
        <f aca="false">Szeptember!C35</f>
        <v>0</v>
      </c>
      <c r="K40" s="14" t="n">
        <f aca="false">Október!C35</f>
        <v>0</v>
      </c>
      <c r="L40" s="14" t="n">
        <f aca="false">November!C35</f>
        <v>0</v>
      </c>
      <c r="M40" s="14" t="n">
        <f aca="false">December!C35</f>
        <v>0</v>
      </c>
      <c r="N40" s="15" t="n">
        <f aca="false">SUM(B40:M40)</f>
        <v>0</v>
      </c>
      <c r="O40" s="15" t="n">
        <f aca="false">N40/MAX(1,$Q$1)</f>
        <v>0</v>
      </c>
      <c r="P40" s="16" t="str">
        <f aca="false">IF(OR(N40="",$N$7=0),"",N40/$N$7)</f>
        <v/>
      </c>
    </row>
    <row r="41" customFormat="false" ht="15" hidden="false" customHeight="false" outlineLevel="0" collapsed="false">
      <c r="A41" s="35" t="s">
        <v>44</v>
      </c>
      <c r="B41" s="14" t="n">
        <f aca="false">Január!C42</f>
        <v>0</v>
      </c>
      <c r="C41" s="14" t="n">
        <f aca="false">Február!C42</f>
        <v>0</v>
      </c>
      <c r="D41" s="14" t="n">
        <f aca="false">Március!C42</f>
        <v>0</v>
      </c>
      <c r="E41" s="14" t="n">
        <f aca="false">Április!C42</f>
        <v>0</v>
      </c>
      <c r="F41" s="14" t="n">
        <f aca="false">Május!C42</f>
        <v>0</v>
      </c>
      <c r="G41" s="14" t="n">
        <f aca="false">Június!C42</f>
        <v>0</v>
      </c>
      <c r="H41" s="14" t="n">
        <f aca="false">Július!C42</f>
        <v>0</v>
      </c>
      <c r="I41" s="14" t="n">
        <f aca="false">Augusztus!C42</f>
        <v>0</v>
      </c>
      <c r="J41" s="14" t="n">
        <f aca="false">Szeptember!C42</f>
        <v>0</v>
      </c>
      <c r="K41" s="14" t="n">
        <f aca="false">Október!C42</f>
        <v>0</v>
      </c>
      <c r="L41" s="14" t="n">
        <f aca="false">November!C42</f>
        <v>0</v>
      </c>
      <c r="M41" s="14" t="n">
        <f aca="false">December!C42</f>
        <v>0</v>
      </c>
      <c r="N41" s="15" t="n">
        <f aca="false">SUM(B41:M41)</f>
        <v>0</v>
      </c>
      <c r="O41" s="15" t="n">
        <f aca="false">N41/MAX(1,$Q$1)</f>
        <v>0</v>
      </c>
      <c r="P41" s="16" t="str">
        <f aca="false">IF(OR(N41="",$N$7=0),"",N41/$N$7)</f>
        <v/>
      </c>
    </row>
    <row r="42" customFormat="false" ht="15" hidden="false" customHeight="false" outlineLevel="0" collapsed="false">
      <c r="A42" s="35" t="s">
        <v>45</v>
      </c>
      <c r="B42" s="14" t="n">
        <f aca="false">Január!C52</f>
        <v>0</v>
      </c>
      <c r="C42" s="14" t="n">
        <f aca="false">Február!C52</f>
        <v>0</v>
      </c>
      <c r="D42" s="14" t="n">
        <f aca="false">Március!C52</f>
        <v>0</v>
      </c>
      <c r="E42" s="14" t="n">
        <f aca="false">Április!C52</f>
        <v>0</v>
      </c>
      <c r="F42" s="14" t="n">
        <f aca="false">Május!C52</f>
        <v>0</v>
      </c>
      <c r="G42" s="14" t="n">
        <f aca="false">Június!C52</f>
        <v>0</v>
      </c>
      <c r="H42" s="14" t="n">
        <f aca="false">Július!C52</f>
        <v>0</v>
      </c>
      <c r="I42" s="14" t="n">
        <f aca="false">Augusztus!C52</f>
        <v>0</v>
      </c>
      <c r="J42" s="14" t="n">
        <f aca="false">Szeptember!C52</f>
        <v>0</v>
      </c>
      <c r="K42" s="14" t="n">
        <f aca="false">Október!C52</f>
        <v>0</v>
      </c>
      <c r="L42" s="14" t="n">
        <f aca="false">November!C52</f>
        <v>0</v>
      </c>
      <c r="M42" s="14" t="n">
        <f aca="false">December!C52</f>
        <v>0</v>
      </c>
      <c r="N42" s="15" t="n">
        <f aca="false">SUM(B42:M42)</f>
        <v>0</v>
      </c>
      <c r="O42" s="15" t="n">
        <f aca="false">N42/MAX(1,$Q$1)</f>
        <v>0</v>
      </c>
      <c r="P42" s="16" t="str">
        <f aca="false">IF(OR(N42="",$N$7=0),"",N42/$N$7)</f>
        <v/>
      </c>
    </row>
    <row r="43" customFormat="false" ht="15" hidden="false" customHeight="false" outlineLevel="0" collapsed="false">
      <c r="A43" s="35" t="s">
        <v>46</v>
      </c>
      <c r="B43" s="14" t="n">
        <f aca="false">Január!C66</f>
        <v>0</v>
      </c>
      <c r="C43" s="14" t="n">
        <f aca="false">Február!C66</f>
        <v>0</v>
      </c>
      <c r="D43" s="14" t="n">
        <f aca="false">Március!C66</f>
        <v>0</v>
      </c>
      <c r="E43" s="14" t="n">
        <f aca="false">Április!C66</f>
        <v>0</v>
      </c>
      <c r="F43" s="14" t="n">
        <f aca="false">Május!C66</f>
        <v>0</v>
      </c>
      <c r="G43" s="14" t="n">
        <f aca="false">Június!C66</f>
        <v>0</v>
      </c>
      <c r="H43" s="14" t="n">
        <f aca="false">Július!C66</f>
        <v>0</v>
      </c>
      <c r="I43" s="14" t="n">
        <f aca="false">Augusztus!C66</f>
        <v>0</v>
      </c>
      <c r="J43" s="14" t="n">
        <f aca="false">Szeptember!C66</f>
        <v>0</v>
      </c>
      <c r="K43" s="14" t="n">
        <f aca="false">Október!C66</f>
        <v>0</v>
      </c>
      <c r="L43" s="14" t="n">
        <f aca="false">November!C66</f>
        <v>0</v>
      </c>
      <c r="M43" s="14" t="n">
        <f aca="false">December!C66</f>
        <v>0</v>
      </c>
      <c r="N43" s="15" t="n">
        <f aca="false">SUM(B43:M43)</f>
        <v>0</v>
      </c>
      <c r="O43" s="15" t="n">
        <f aca="false">N43/MAX(1,$Q$1)</f>
        <v>0</v>
      </c>
      <c r="P43" s="16" t="str">
        <f aca="false">IF(OR(N43="",$N$7=0),"",N43/$N$7)</f>
        <v/>
      </c>
    </row>
    <row r="44" customFormat="false" ht="15" hidden="false" customHeight="false" outlineLevel="0" collapsed="false">
      <c r="A44" s="35" t="s">
        <v>47</v>
      </c>
      <c r="B44" s="14" t="n">
        <f aca="false">Január!C79</f>
        <v>0</v>
      </c>
      <c r="C44" s="14" t="n">
        <f aca="false">Február!C79</f>
        <v>0</v>
      </c>
      <c r="D44" s="14" t="n">
        <f aca="false">Március!C79</f>
        <v>0</v>
      </c>
      <c r="E44" s="14" t="n">
        <f aca="false">Április!C79</f>
        <v>0</v>
      </c>
      <c r="F44" s="14" t="n">
        <f aca="false">Május!C79</f>
        <v>0</v>
      </c>
      <c r="G44" s="14" t="n">
        <f aca="false">Június!C79</f>
        <v>0</v>
      </c>
      <c r="H44" s="14" t="n">
        <f aca="false">Július!C79</f>
        <v>0</v>
      </c>
      <c r="I44" s="14" t="n">
        <f aca="false">Augusztus!C79</f>
        <v>0</v>
      </c>
      <c r="J44" s="14" t="n">
        <f aca="false">Szeptember!C79</f>
        <v>0</v>
      </c>
      <c r="K44" s="14" t="n">
        <f aca="false">Október!C79</f>
        <v>0</v>
      </c>
      <c r="L44" s="14" t="n">
        <f aca="false">November!C79</f>
        <v>0</v>
      </c>
      <c r="M44" s="14" t="n">
        <f aca="false">December!C79</f>
        <v>0</v>
      </c>
      <c r="N44" s="15" t="n">
        <f aca="false">SUM(B44:M44)</f>
        <v>0</v>
      </c>
      <c r="O44" s="15" t="n">
        <f aca="false">N44/MAX(1,$Q$1)</f>
        <v>0</v>
      </c>
      <c r="P44" s="16" t="str">
        <f aca="false">IF(OR(N44="",$N$7=0),"",N44/$N$7)</f>
        <v/>
      </c>
    </row>
    <row r="45" customFormat="false" ht="15" hidden="false" customHeight="false" outlineLevel="0" collapsed="false">
      <c r="A45" s="35" t="s">
        <v>48</v>
      </c>
      <c r="B45" s="14" t="n">
        <f aca="false">Január!C85</f>
        <v>0</v>
      </c>
      <c r="C45" s="14" t="n">
        <f aca="false">Február!C85</f>
        <v>0</v>
      </c>
      <c r="D45" s="14" t="n">
        <f aca="false">Március!C85</f>
        <v>0</v>
      </c>
      <c r="E45" s="14" t="n">
        <f aca="false">Április!C85</f>
        <v>0</v>
      </c>
      <c r="F45" s="14" t="n">
        <f aca="false">Május!C85</f>
        <v>0</v>
      </c>
      <c r="G45" s="14" t="n">
        <f aca="false">Június!C85</f>
        <v>0</v>
      </c>
      <c r="H45" s="14" t="n">
        <f aca="false">Július!C85</f>
        <v>0</v>
      </c>
      <c r="I45" s="14" t="n">
        <f aca="false">Augusztus!C85</f>
        <v>0</v>
      </c>
      <c r="J45" s="14" t="n">
        <f aca="false">Szeptember!C85</f>
        <v>0</v>
      </c>
      <c r="K45" s="14" t="n">
        <f aca="false">Október!C85</f>
        <v>0</v>
      </c>
      <c r="L45" s="14" t="n">
        <f aca="false">November!C85</f>
        <v>0</v>
      </c>
      <c r="M45" s="14" t="n">
        <f aca="false">December!C85</f>
        <v>0</v>
      </c>
      <c r="N45" s="15" t="n">
        <f aca="false">SUM(B45:M45)</f>
        <v>0</v>
      </c>
      <c r="O45" s="15" t="n">
        <f aca="false">N45/MAX(1,$Q$1)</f>
        <v>0</v>
      </c>
      <c r="P45" s="16" t="str">
        <f aca="false">IF(OR(N45="",$N$7=0),"",N45/$N$7)</f>
        <v/>
      </c>
    </row>
    <row r="46" customFormat="false" ht="15" hidden="false" customHeight="false" outlineLevel="0" collapsed="false">
      <c r="A46" s="35" t="s">
        <v>49</v>
      </c>
      <c r="B46" s="14" t="n">
        <f aca="false">Január!C94</f>
        <v>0</v>
      </c>
      <c r="C46" s="14" t="n">
        <f aca="false">Február!C94</f>
        <v>0</v>
      </c>
      <c r="D46" s="14" t="n">
        <f aca="false">Március!C94</f>
        <v>0</v>
      </c>
      <c r="E46" s="14" t="n">
        <f aca="false">Április!C94</f>
        <v>0</v>
      </c>
      <c r="F46" s="14" t="n">
        <f aca="false">Május!C94</f>
        <v>0</v>
      </c>
      <c r="G46" s="14" t="n">
        <f aca="false">Június!C94</f>
        <v>0</v>
      </c>
      <c r="H46" s="14" t="n">
        <f aca="false">Július!C94</f>
        <v>0</v>
      </c>
      <c r="I46" s="14" t="n">
        <f aca="false">Augusztus!C94</f>
        <v>0</v>
      </c>
      <c r="J46" s="14" t="n">
        <f aca="false">Szeptember!C94</f>
        <v>0</v>
      </c>
      <c r="K46" s="14" t="n">
        <f aca="false">Október!C94</f>
        <v>0</v>
      </c>
      <c r="L46" s="14" t="n">
        <f aca="false">November!C94</f>
        <v>0</v>
      </c>
      <c r="M46" s="14" t="n">
        <f aca="false">December!C94</f>
        <v>0</v>
      </c>
      <c r="N46" s="15" t="n">
        <f aca="false">SUM(B46:M46)</f>
        <v>0</v>
      </c>
      <c r="O46" s="15" t="n">
        <f aca="false">N46/MAX(1,$Q$1)</f>
        <v>0</v>
      </c>
      <c r="P46" s="16" t="str">
        <f aca="false">IF(OR(N46="",$N$7=0),"",N46/$N$7)</f>
        <v/>
      </c>
    </row>
    <row r="47" customFormat="false" ht="15" hidden="false" customHeight="false" outlineLevel="0" collapsed="false">
      <c r="A47" s="35" t="s">
        <v>50</v>
      </c>
      <c r="B47" s="14" t="n">
        <f aca="false">Január!C99</f>
        <v>0</v>
      </c>
      <c r="C47" s="14" t="n">
        <f aca="false">Február!C99</f>
        <v>0</v>
      </c>
      <c r="D47" s="14" t="n">
        <f aca="false">Március!C99</f>
        <v>0</v>
      </c>
      <c r="E47" s="14" t="n">
        <f aca="false">Április!C99</f>
        <v>0</v>
      </c>
      <c r="F47" s="14" t="n">
        <f aca="false">Május!C99</f>
        <v>0</v>
      </c>
      <c r="G47" s="14" t="n">
        <f aca="false">Június!C99</f>
        <v>0</v>
      </c>
      <c r="H47" s="14" t="n">
        <f aca="false">Július!C99</f>
        <v>0</v>
      </c>
      <c r="I47" s="14" t="n">
        <f aca="false">Augusztus!C99</f>
        <v>0</v>
      </c>
      <c r="J47" s="14" t="n">
        <f aca="false">Szeptember!C99</f>
        <v>0</v>
      </c>
      <c r="K47" s="14" t="n">
        <f aca="false">Október!C99</f>
        <v>0</v>
      </c>
      <c r="L47" s="14" t="n">
        <f aca="false">November!C99</f>
        <v>0</v>
      </c>
      <c r="M47" s="14" t="n">
        <f aca="false">December!C99</f>
        <v>0</v>
      </c>
      <c r="N47" s="15" t="n">
        <f aca="false">SUM(B47:M47)</f>
        <v>0</v>
      </c>
      <c r="O47" s="15" t="n">
        <f aca="false">N47/MAX(1,$Q$1)</f>
        <v>0</v>
      </c>
      <c r="P47" s="16" t="str">
        <f aca="false">IF(OR(N47="",$N$7=0),"",N47/$N$7)</f>
        <v/>
      </c>
    </row>
    <row r="48" customFormat="false" ht="15" hidden="false" customHeight="false" outlineLevel="0" collapsed="false">
      <c r="A48" s="35" t="s">
        <v>51</v>
      </c>
      <c r="B48" s="14" t="n">
        <f aca="false">Január!C106</f>
        <v>0</v>
      </c>
      <c r="C48" s="14" t="n">
        <f aca="false">Február!C106</f>
        <v>0</v>
      </c>
      <c r="D48" s="14" t="n">
        <f aca="false">Március!C106</f>
        <v>0</v>
      </c>
      <c r="E48" s="14" t="n">
        <f aca="false">Április!C106</f>
        <v>0</v>
      </c>
      <c r="F48" s="14" t="n">
        <f aca="false">Május!C106</f>
        <v>0</v>
      </c>
      <c r="G48" s="14" t="n">
        <f aca="false">Június!C106</f>
        <v>0</v>
      </c>
      <c r="H48" s="14" t="n">
        <f aca="false">Július!C106</f>
        <v>0</v>
      </c>
      <c r="I48" s="14" t="n">
        <f aca="false">Augusztus!C106</f>
        <v>0</v>
      </c>
      <c r="J48" s="14" t="n">
        <f aca="false">Szeptember!C106</f>
        <v>0</v>
      </c>
      <c r="K48" s="14" t="n">
        <f aca="false">Október!C106</f>
        <v>0</v>
      </c>
      <c r="L48" s="14" t="n">
        <f aca="false">November!C106</f>
        <v>0</v>
      </c>
      <c r="M48" s="14" t="n">
        <f aca="false">December!C106</f>
        <v>0</v>
      </c>
      <c r="N48" s="15" t="n">
        <f aca="false">SUM(B48:M48)</f>
        <v>0</v>
      </c>
      <c r="O48" s="15" t="n">
        <f aca="false">N48/MAX(1,$Q$1)</f>
        <v>0</v>
      </c>
      <c r="P48" s="16" t="str">
        <f aca="false">IF(OR(N48="",$N$7=0),"",N48/$N$7)</f>
        <v/>
      </c>
    </row>
    <row r="49" customFormat="false" ht="15" hidden="false" customHeight="false" outlineLevel="0" collapsed="false">
      <c r="A49" s="35" t="s">
        <v>52</v>
      </c>
      <c r="B49" s="14" t="n">
        <f aca="false">Január!C112</f>
        <v>0</v>
      </c>
      <c r="C49" s="14" t="n">
        <f aca="false">Február!C112</f>
        <v>0</v>
      </c>
      <c r="D49" s="14" t="n">
        <f aca="false">Március!C112</f>
        <v>0</v>
      </c>
      <c r="E49" s="14" t="n">
        <f aca="false">Április!C112</f>
        <v>0</v>
      </c>
      <c r="F49" s="14" t="n">
        <f aca="false">Május!C112</f>
        <v>0</v>
      </c>
      <c r="G49" s="14" t="n">
        <f aca="false">Június!C112</f>
        <v>0</v>
      </c>
      <c r="H49" s="14" t="n">
        <f aca="false">Július!C112</f>
        <v>0</v>
      </c>
      <c r="I49" s="14" t="n">
        <f aca="false">Augusztus!C112</f>
        <v>0</v>
      </c>
      <c r="J49" s="14" t="n">
        <f aca="false">Szeptember!C112</f>
        <v>0</v>
      </c>
      <c r="K49" s="14" t="n">
        <f aca="false">Október!C112</f>
        <v>0</v>
      </c>
      <c r="L49" s="14" t="n">
        <f aca="false">November!C112</f>
        <v>0</v>
      </c>
      <c r="M49" s="14" t="n">
        <f aca="false">December!C112</f>
        <v>0</v>
      </c>
      <c r="N49" s="15" t="n">
        <f aca="false">SUM(B49:M49)</f>
        <v>0</v>
      </c>
      <c r="O49" s="15" t="n">
        <f aca="false">N49/MAX(1,$Q$1)</f>
        <v>0</v>
      </c>
      <c r="P49" s="16" t="str">
        <f aca="false">IF(OR(N49="",$N$7=0),"",N49/$N$7)</f>
        <v/>
      </c>
    </row>
    <row r="50" customFormat="false" ht="15" hidden="false" customHeight="false" outlineLevel="0" collapsed="false">
      <c r="A50" s="35" t="s">
        <v>53</v>
      </c>
      <c r="B50" s="14" t="n">
        <f aca="false">Január!C117</f>
        <v>0</v>
      </c>
      <c r="C50" s="14" t="n">
        <f aca="false">Február!C117</f>
        <v>0</v>
      </c>
      <c r="D50" s="14" t="n">
        <f aca="false">Március!C117</f>
        <v>0</v>
      </c>
      <c r="E50" s="14" t="n">
        <f aca="false">Április!C117</f>
        <v>0</v>
      </c>
      <c r="F50" s="14" t="n">
        <f aca="false">Május!C117</f>
        <v>0</v>
      </c>
      <c r="G50" s="14" t="n">
        <f aca="false">Június!C117</f>
        <v>0</v>
      </c>
      <c r="H50" s="14" t="n">
        <f aca="false">Július!C117</f>
        <v>0</v>
      </c>
      <c r="I50" s="14" t="n">
        <f aca="false">Augusztus!C117</f>
        <v>0</v>
      </c>
      <c r="J50" s="14" t="n">
        <f aca="false">Szeptember!C117</f>
        <v>0</v>
      </c>
      <c r="K50" s="14" t="n">
        <f aca="false">Október!C117</f>
        <v>0</v>
      </c>
      <c r="L50" s="14" t="n">
        <f aca="false">November!C117</f>
        <v>0</v>
      </c>
      <c r="M50" s="14" t="n">
        <f aca="false">December!C117</f>
        <v>0</v>
      </c>
      <c r="N50" s="15" t="n">
        <f aca="false">SUM(B50:M50)</f>
        <v>0</v>
      </c>
      <c r="O50" s="15" t="n">
        <f aca="false">N50/MAX(1,$Q$1)</f>
        <v>0</v>
      </c>
      <c r="P50" s="16" t="str">
        <f aca="false">IF(OR(N50="",$N$7=0),"",N50/$N$7)</f>
        <v/>
      </c>
    </row>
    <row r="51" customFormat="false" ht="15" hidden="false" customHeight="false" outlineLevel="0" collapsed="false">
      <c r="A51" s="33" t="s">
        <v>54</v>
      </c>
      <c r="B51" s="34" t="s">
        <v>19</v>
      </c>
      <c r="C51" s="34" t="s">
        <v>20</v>
      </c>
      <c r="D51" s="34" t="s">
        <v>21</v>
      </c>
      <c r="E51" s="34" t="s">
        <v>22</v>
      </c>
      <c r="F51" s="34" t="s">
        <v>23</v>
      </c>
      <c r="G51" s="34" t="s">
        <v>24</v>
      </c>
      <c r="H51" s="34" t="s">
        <v>25</v>
      </c>
      <c r="I51" s="34" t="s">
        <v>26</v>
      </c>
      <c r="J51" s="34" t="s">
        <v>27</v>
      </c>
      <c r="K51" s="34" t="s">
        <v>28</v>
      </c>
      <c r="L51" s="34" t="s">
        <v>29</v>
      </c>
      <c r="M51" s="34" t="s">
        <v>30</v>
      </c>
      <c r="N51" s="34" t="s">
        <v>31</v>
      </c>
      <c r="O51" s="34" t="s">
        <v>32</v>
      </c>
      <c r="P51" s="34" t="s">
        <v>33</v>
      </c>
    </row>
    <row r="52" customFormat="false" ht="15" hidden="false" customHeight="false" outlineLevel="0" collapsed="false">
      <c r="A52" s="28" t="str">
        <f aca="false">IFERROR(INDEX(_Segéd!$G$2:$G$793,MATCH(1,_Segéd!$H$2:$H$793,0)),"")</f>
        <v>Albérleti díj / lakáshitel</v>
      </c>
      <c r="B52" s="29" t="n">
        <f aca="false">IF($A52="","",SUMIF(Január!$A$31:$A$116,$A52,Január!$B$31:$B$116))</f>
        <v>0</v>
      </c>
      <c r="C52" s="29" t="n">
        <f aca="false">IF($A52="","",SUMIF(Február!$A$31:$A$116,$A52,Február!$B$31:$B$116))</f>
        <v>0</v>
      </c>
      <c r="D52" s="29" t="n">
        <f aca="false">IF($A52="","",SUMIF(Március!$A$31:$A$116,$A52,Március!$B$31:$B$116))</f>
        <v>0</v>
      </c>
      <c r="E52" s="29" t="n">
        <f aca="false">IF($A52="","",SUMIF(Április!$A$31:$A$116,$A52,Április!$B$31:$B$116))</f>
        <v>0</v>
      </c>
      <c r="F52" s="29" t="n">
        <f aca="false">IF($A52="","",SUMIF(Május!$A$31:$A$116,$A52,Május!$B$31:$B$116))</f>
        <v>0</v>
      </c>
      <c r="G52" s="29" t="n">
        <f aca="false">IF($A52="","",SUMIF(Június!$A$31:$A$116,$A52,Június!$B$31:$B$116))</f>
        <v>0</v>
      </c>
      <c r="H52" s="29" t="n">
        <f aca="false">IF($A52="","",SUMIF(Július!$A$31:$A$116,$A52,Július!$B$31:$B$116))</f>
        <v>0</v>
      </c>
      <c r="I52" s="29" t="n">
        <f aca="false">IF($A52="","",SUMIF(Augusztus!$A$31:$A$116,$A52,Augusztus!$B$31:$B$116))</f>
        <v>0</v>
      </c>
      <c r="J52" s="29" t="n">
        <f aca="false">IF($A52="","",SUMIF(Szeptember!$A$31:$A$116,$A52,Szeptember!$B$31:$B$116))</f>
        <v>0</v>
      </c>
      <c r="K52" s="29" t="n">
        <f aca="false">IF($A52="","",SUMIF(Október!$A$31:$A$116,$A52,Október!$B$31:$B$116))</f>
        <v>0</v>
      </c>
      <c r="L52" s="29" t="n">
        <f aca="false">IF($A52="","",SUMIF(November!$A$31:$A$116,$A52,November!$B$31:$B$116))</f>
        <v>0</v>
      </c>
      <c r="M52" s="29" t="n">
        <f aca="false">IF($A52="","",SUMIF(December!$A$31:$A$116,$A52,December!$B$31:$B$116))</f>
        <v>0</v>
      </c>
      <c r="N52" s="15" t="n">
        <f aca="false">IF($A52="","",SUM(B52:M52))</f>
        <v>0</v>
      </c>
      <c r="O52" s="25" t="n">
        <f aca="false">IF($A52="","",N52/MAX(1,$Q$1))</f>
        <v>0</v>
      </c>
      <c r="P52" s="30" t="str">
        <f aca="false">IF(OR(N52="",$N$7=0),"",N52/$N$7)</f>
        <v/>
      </c>
    </row>
    <row r="53" customFormat="false" ht="15" hidden="false" customHeight="false" outlineLevel="0" collapsed="false">
      <c r="A53" s="28" t="str">
        <f aca="false">IFERROR(INDEX(_Segéd!$G$2:$G$793,MATCH(2,_Segéd!$H$2:$H$793,0)),"")</f>
        <v>Rezsi (közművek, közös költség)</v>
      </c>
      <c r="B53" s="29" t="n">
        <f aca="false">IF($A53="","",SUMIF(Január!$A$31:$A$116,$A53,Január!$B$31:$B$116))</f>
        <v>0</v>
      </c>
      <c r="C53" s="29" t="n">
        <f aca="false">IF($A53="","",SUMIF(Február!$A$31:$A$116,$A53,Február!$B$31:$B$116))</f>
        <v>0</v>
      </c>
      <c r="D53" s="29" t="n">
        <f aca="false">IF($A53="","",SUMIF(Március!$A$31:$A$116,$A53,Március!$B$31:$B$116))</f>
        <v>0</v>
      </c>
      <c r="E53" s="29" t="n">
        <f aca="false">IF($A53="","",SUMIF(Április!$A$31:$A$116,$A53,Április!$B$31:$B$116))</f>
        <v>0</v>
      </c>
      <c r="F53" s="29" t="n">
        <f aca="false">IF($A53="","",SUMIF(Május!$A$31:$A$116,$A53,Május!$B$31:$B$116))</f>
        <v>0</v>
      </c>
      <c r="G53" s="29" t="n">
        <f aca="false">IF($A53="","",SUMIF(Június!$A$31:$A$116,$A53,Június!$B$31:$B$116))</f>
        <v>0</v>
      </c>
      <c r="H53" s="29" t="n">
        <f aca="false">IF($A53="","",SUMIF(Július!$A$31:$A$116,$A53,Július!$B$31:$B$116))</f>
        <v>0</v>
      </c>
      <c r="I53" s="29" t="n">
        <f aca="false">IF($A53="","",SUMIF(Augusztus!$A$31:$A$116,$A53,Augusztus!$B$31:$B$116))</f>
        <v>0</v>
      </c>
      <c r="J53" s="29" t="n">
        <f aca="false">IF($A53="","",SUMIF(Szeptember!$A$31:$A$116,$A53,Szeptember!$B$31:$B$116))</f>
        <v>0</v>
      </c>
      <c r="K53" s="29" t="n">
        <f aca="false">IF($A53="","",SUMIF(Október!$A$31:$A$116,$A53,Október!$B$31:$B$116))</f>
        <v>0</v>
      </c>
      <c r="L53" s="29" t="n">
        <f aca="false">IF($A53="","",SUMIF(November!$A$31:$A$116,$A53,November!$B$31:$B$116))</f>
        <v>0</v>
      </c>
      <c r="M53" s="29" t="n">
        <f aca="false">IF($A53="","",SUMIF(December!$A$31:$A$116,$A53,December!$B$31:$B$116))</f>
        <v>0</v>
      </c>
      <c r="N53" s="15" t="n">
        <f aca="false">IF($A53="","",SUM(B53:M53))</f>
        <v>0</v>
      </c>
      <c r="O53" s="25" t="n">
        <f aca="false">IF($A53="","",N53/MAX(1,$Q$1))</f>
        <v>0</v>
      </c>
      <c r="P53" s="30" t="str">
        <f aca="false">IF(OR(N53="",$N$7=0),"",N53/$N$7)</f>
        <v/>
      </c>
    </row>
    <row r="54" customFormat="false" ht="15" hidden="false" customHeight="false" outlineLevel="0" collapsed="false">
      <c r="A54" s="28" t="str">
        <f aca="false">IFERROR(INDEX(_Segéd!$G$2:$G$793,MATCH(3,_Segéd!$H$2:$H$793,0)),"")</f>
        <v>Telefon, internet, digitális előfizetések</v>
      </c>
      <c r="B54" s="29" t="n">
        <f aca="false">IF($A54="","",SUMIF(Január!$A$31:$A$116,$A54,Január!$B$31:$B$116))</f>
        <v>0</v>
      </c>
      <c r="C54" s="29" t="n">
        <f aca="false">IF($A54="","",SUMIF(Február!$A$31:$A$116,$A54,Február!$B$31:$B$116))</f>
        <v>0</v>
      </c>
      <c r="D54" s="29" t="n">
        <f aca="false">IF($A54="","",SUMIF(Március!$A$31:$A$116,$A54,Március!$B$31:$B$116))</f>
        <v>0</v>
      </c>
      <c r="E54" s="29" t="n">
        <f aca="false">IF($A54="","",SUMIF(Április!$A$31:$A$116,$A54,Április!$B$31:$B$116))</f>
        <v>0</v>
      </c>
      <c r="F54" s="29" t="n">
        <f aca="false">IF($A54="","",SUMIF(Május!$A$31:$A$116,$A54,Május!$B$31:$B$116))</f>
        <v>0</v>
      </c>
      <c r="G54" s="29" t="n">
        <f aca="false">IF($A54="","",SUMIF(Június!$A$31:$A$116,$A54,Június!$B$31:$B$116))</f>
        <v>0</v>
      </c>
      <c r="H54" s="29" t="n">
        <f aca="false">IF($A54="","",SUMIF(Július!$A$31:$A$116,$A54,Július!$B$31:$B$116))</f>
        <v>0</v>
      </c>
      <c r="I54" s="29" t="n">
        <f aca="false">IF($A54="","",SUMIF(Augusztus!$A$31:$A$116,$A54,Augusztus!$B$31:$B$116))</f>
        <v>0</v>
      </c>
      <c r="J54" s="29" t="n">
        <f aca="false">IF($A54="","",SUMIF(Szeptember!$A$31:$A$116,$A54,Szeptember!$B$31:$B$116))</f>
        <v>0</v>
      </c>
      <c r="K54" s="29" t="n">
        <f aca="false">IF($A54="","",SUMIF(Október!$A$31:$A$116,$A54,Október!$B$31:$B$116))</f>
        <v>0</v>
      </c>
      <c r="L54" s="29" t="n">
        <f aca="false">IF($A54="","",SUMIF(November!$A$31:$A$116,$A54,November!$B$31:$B$116))</f>
        <v>0</v>
      </c>
      <c r="M54" s="29" t="n">
        <f aca="false">IF($A54="","",SUMIF(December!$A$31:$A$116,$A54,December!$B$31:$B$116))</f>
        <v>0</v>
      </c>
      <c r="N54" s="15" t="n">
        <f aca="false">IF($A54="","",SUM(B54:M54))</f>
        <v>0</v>
      </c>
      <c r="O54" s="25" t="n">
        <f aca="false">IF($A54="","",N54/MAX(1,$Q$1))</f>
        <v>0</v>
      </c>
      <c r="P54" s="30" t="str">
        <f aca="false">IF(OR(N54="",$N$7=0),"",N54/$N$7)</f>
        <v/>
      </c>
    </row>
    <row r="55" customFormat="false" ht="15" hidden="false" customHeight="false" outlineLevel="0" collapsed="false">
      <c r="A55" s="28" t="str">
        <f aca="false">IFERROR(INDEX(_Segéd!$G$2:$G$793,MATCH(4,_Segéd!$H$2:$H$793,0)),"")</f>
        <v>Nagybevásárlások</v>
      </c>
      <c r="B55" s="29" t="n">
        <f aca="false">IF($A55="","",SUMIF(Január!$A$31:$A$116,$A55,Január!$B$31:$B$116))</f>
        <v>0</v>
      </c>
      <c r="C55" s="29" t="n">
        <f aca="false">IF($A55="","",SUMIF(Február!$A$31:$A$116,$A55,Február!$B$31:$B$116))</f>
        <v>0</v>
      </c>
      <c r="D55" s="29" t="n">
        <f aca="false">IF($A55="","",SUMIF(Március!$A$31:$A$116,$A55,Március!$B$31:$B$116))</f>
        <v>0</v>
      </c>
      <c r="E55" s="29" t="n">
        <f aca="false">IF($A55="","",SUMIF(Április!$A$31:$A$116,$A55,Április!$B$31:$B$116))</f>
        <v>0</v>
      </c>
      <c r="F55" s="29" t="n">
        <f aca="false">IF($A55="","",SUMIF(Május!$A$31:$A$116,$A55,Május!$B$31:$B$116))</f>
        <v>0</v>
      </c>
      <c r="G55" s="29" t="n">
        <f aca="false">IF($A55="","",SUMIF(Június!$A$31:$A$116,$A55,Június!$B$31:$B$116))</f>
        <v>0</v>
      </c>
      <c r="H55" s="29" t="n">
        <f aca="false">IF($A55="","",SUMIF(Július!$A$31:$A$116,$A55,Július!$B$31:$B$116))</f>
        <v>0</v>
      </c>
      <c r="I55" s="29" t="n">
        <f aca="false">IF($A55="","",SUMIF(Augusztus!$A$31:$A$116,$A55,Augusztus!$B$31:$B$116))</f>
        <v>0</v>
      </c>
      <c r="J55" s="29" t="n">
        <f aca="false">IF($A55="","",SUMIF(Szeptember!$A$31:$A$116,$A55,Szeptember!$B$31:$B$116))</f>
        <v>0</v>
      </c>
      <c r="K55" s="29" t="n">
        <f aca="false">IF($A55="","",SUMIF(Október!$A$31:$A$116,$A55,Október!$B$31:$B$116))</f>
        <v>0</v>
      </c>
      <c r="L55" s="29" t="n">
        <f aca="false">IF($A55="","",SUMIF(November!$A$31:$A$116,$A55,November!$B$31:$B$116))</f>
        <v>0</v>
      </c>
      <c r="M55" s="29" t="n">
        <f aca="false">IF($A55="","",SUMIF(December!$A$31:$A$116,$A55,December!$B$31:$B$116))</f>
        <v>0</v>
      </c>
      <c r="N55" s="15" t="n">
        <f aca="false">IF($A55="","",SUM(B55:M55))</f>
        <v>0</v>
      </c>
      <c r="O55" s="25" t="n">
        <f aca="false">IF($A55="","",N55/MAX(1,$Q$1))</f>
        <v>0</v>
      </c>
      <c r="P55" s="30" t="str">
        <f aca="false">IF(OR(N55="",$N$7=0),"",N55/$N$7)</f>
        <v/>
      </c>
    </row>
    <row r="56" customFormat="false" ht="15" hidden="false" customHeight="false" outlineLevel="0" collapsed="false">
      <c r="A56" s="28" t="str">
        <f aca="false">IFERROR(INDEX(_Segéd!$G$2:$G$793,MATCH(5,_Segéd!$H$2:$H$793,0)),"")</f>
        <v>Drogéria</v>
      </c>
      <c r="B56" s="29" t="n">
        <f aca="false">IF($A56="","",SUMIF(Január!$A$31:$A$116,$A56,Január!$B$31:$B$116))</f>
        <v>0</v>
      </c>
      <c r="C56" s="29" t="n">
        <f aca="false">IF($A56="","",SUMIF(Február!$A$31:$A$116,$A56,Február!$B$31:$B$116))</f>
        <v>0</v>
      </c>
      <c r="D56" s="29" t="n">
        <f aca="false">IF($A56="","",SUMIF(Március!$A$31:$A$116,$A56,Március!$B$31:$B$116))</f>
        <v>0</v>
      </c>
      <c r="E56" s="29" t="n">
        <f aca="false">IF($A56="","",SUMIF(Április!$A$31:$A$116,$A56,Április!$B$31:$B$116))</f>
        <v>0</v>
      </c>
      <c r="F56" s="29" t="n">
        <f aca="false">IF($A56="","",SUMIF(Május!$A$31:$A$116,$A56,Május!$B$31:$B$116))</f>
        <v>0</v>
      </c>
      <c r="G56" s="29" t="n">
        <f aca="false">IF($A56="","",SUMIF(Június!$A$31:$A$116,$A56,Június!$B$31:$B$116))</f>
        <v>0</v>
      </c>
      <c r="H56" s="29" t="n">
        <f aca="false">IF($A56="","",SUMIF(Július!$A$31:$A$116,$A56,Július!$B$31:$B$116))</f>
        <v>0</v>
      </c>
      <c r="I56" s="29" t="n">
        <f aca="false">IF($A56="","",SUMIF(Augusztus!$A$31:$A$116,$A56,Augusztus!$B$31:$B$116))</f>
        <v>0</v>
      </c>
      <c r="J56" s="29" t="n">
        <f aca="false">IF($A56="","",SUMIF(Szeptember!$A$31:$A$116,$A56,Szeptember!$B$31:$B$116))</f>
        <v>0</v>
      </c>
      <c r="K56" s="29" t="n">
        <f aca="false">IF($A56="","",SUMIF(Október!$A$31:$A$116,$A56,Október!$B$31:$B$116))</f>
        <v>0</v>
      </c>
      <c r="L56" s="29" t="n">
        <f aca="false">IF($A56="","",SUMIF(November!$A$31:$A$116,$A56,November!$B$31:$B$116))</f>
        <v>0</v>
      </c>
      <c r="M56" s="29" t="n">
        <f aca="false">IF($A56="","",SUMIF(December!$A$31:$A$116,$A56,December!$B$31:$B$116))</f>
        <v>0</v>
      </c>
      <c r="N56" s="15" t="n">
        <f aca="false">IF($A56="","",SUM(B56:M56))</f>
        <v>0</v>
      </c>
      <c r="O56" s="25" t="n">
        <f aca="false">IF($A56="","",N56/MAX(1,$Q$1))</f>
        <v>0</v>
      </c>
      <c r="P56" s="30" t="str">
        <f aca="false">IF(OR(N56="",$N$7=0),"",N56/$N$7)</f>
        <v/>
      </c>
    </row>
    <row r="57" customFormat="false" ht="15" hidden="false" customHeight="false" outlineLevel="0" collapsed="false">
      <c r="A57" s="28" t="str">
        <f aca="false">IFERROR(INDEX(_Segéd!$G$2:$G$793,MATCH(6,_Segéd!$H$2:$H$793,0)),"")</f>
        <v>Ételrendelés</v>
      </c>
      <c r="B57" s="29" t="n">
        <f aca="false">IF($A57="","",SUMIF(Január!$A$31:$A$116,$A57,Január!$B$31:$B$116))</f>
        <v>0</v>
      </c>
      <c r="C57" s="29" t="n">
        <f aca="false">IF($A57="","",SUMIF(Február!$A$31:$A$116,$A57,Február!$B$31:$B$116))</f>
        <v>0</v>
      </c>
      <c r="D57" s="29" t="n">
        <f aca="false">IF($A57="","",SUMIF(Március!$A$31:$A$116,$A57,Március!$B$31:$B$116))</f>
        <v>0</v>
      </c>
      <c r="E57" s="29" t="n">
        <f aca="false">IF($A57="","",SUMIF(Április!$A$31:$A$116,$A57,Április!$B$31:$B$116))</f>
        <v>0</v>
      </c>
      <c r="F57" s="29" t="n">
        <f aca="false">IF($A57="","",SUMIF(Május!$A$31:$A$116,$A57,Május!$B$31:$B$116))</f>
        <v>0</v>
      </c>
      <c r="G57" s="29" t="n">
        <f aca="false">IF($A57="","",SUMIF(Június!$A$31:$A$116,$A57,Június!$B$31:$B$116))</f>
        <v>0</v>
      </c>
      <c r="H57" s="29" t="n">
        <f aca="false">IF($A57="","",SUMIF(Július!$A$31:$A$116,$A57,Július!$B$31:$B$116))</f>
        <v>0</v>
      </c>
      <c r="I57" s="29" t="n">
        <f aca="false">IF($A57="","",SUMIF(Augusztus!$A$31:$A$116,$A57,Augusztus!$B$31:$B$116))</f>
        <v>0</v>
      </c>
      <c r="J57" s="29" t="n">
        <f aca="false">IF($A57="","",SUMIF(Szeptember!$A$31:$A$116,$A57,Szeptember!$B$31:$B$116))</f>
        <v>0</v>
      </c>
      <c r="K57" s="29" t="n">
        <f aca="false">IF($A57="","",SUMIF(Október!$A$31:$A$116,$A57,Október!$B$31:$B$116))</f>
        <v>0</v>
      </c>
      <c r="L57" s="29" t="n">
        <f aca="false">IF($A57="","",SUMIF(November!$A$31:$A$116,$A57,November!$B$31:$B$116))</f>
        <v>0</v>
      </c>
      <c r="M57" s="29" t="n">
        <f aca="false">IF($A57="","",SUMIF(December!$A$31:$A$116,$A57,December!$B$31:$B$116))</f>
        <v>0</v>
      </c>
      <c r="N57" s="15" t="n">
        <f aca="false">IF($A57="","",SUM(B57:M57))</f>
        <v>0</v>
      </c>
      <c r="O57" s="25" t="n">
        <f aca="false">IF($A57="","",N57/MAX(1,$Q$1))</f>
        <v>0</v>
      </c>
      <c r="P57" s="30" t="str">
        <f aca="false">IF(OR(N57="",$N$7=0),"",N57/$N$7)</f>
        <v/>
      </c>
    </row>
    <row r="58" customFormat="false" ht="15" hidden="false" customHeight="false" outlineLevel="0" collapsed="false">
      <c r="A58" s="28" t="str">
        <f aca="false">IFERROR(INDEX(_Segéd!$G$2:$G$793,MATCH(7,_Segéd!$H$2:$H$793,0)),"")</f>
        <v>Egyéb élelmiszer, bevásárlás</v>
      </c>
      <c r="B58" s="29" t="n">
        <f aca="false">IF($A58="","",SUMIF(Január!$A$31:$A$116,$A58,Január!$B$31:$B$116))</f>
        <v>0</v>
      </c>
      <c r="C58" s="29" t="n">
        <f aca="false">IF($A58="","",SUMIF(Február!$A$31:$A$116,$A58,Február!$B$31:$B$116))</f>
        <v>0</v>
      </c>
      <c r="D58" s="29" t="n">
        <f aca="false">IF($A58="","",SUMIF(Március!$A$31:$A$116,$A58,Március!$B$31:$B$116))</f>
        <v>0</v>
      </c>
      <c r="E58" s="29" t="n">
        <f aca="false">IF($A58="","",SUMIF(Április!$A$31:$A$116,$A58,Április!$B$31:$B$116))</f>
        <v>0</v>
      </c>
      <c r="F58" s="29" t="n">
        <f aca="false">IF($A58="","",SUMIF(Május!$A$31:$A$116,$A58,Május!$B$31:$B$116))</f>
        <v>0</v>
      </c>
      <c r="G58" s="29" t="n">
        <f aca="false">IF($A58="","",SUMIF(Június!$A$31:$A$116,$A58,Június!$B$31:$B$116))</f>
        <v>0</v>
      </c>
      <c r="H58" s="29" t="n">
        <f aca="false">IF($A58="","",SUMIF(Július!$A$31:$A$116,$A58,Július!$B$31:$B$116))</f>
        <v>0</v>
      </c>
      <c r="I58" s="29" t="n">
        <f aca="false">IF($A58="","",SUMIF(Augusztus!$A$31:$A$116,$A58,Augusztus!$B$31:$B$116))</f>
        <v>0</v>
      </c>
      <c r="J58" s="29" t="n">
        <f aca="false">IF($A58="","",SUMIF(Szeptember!$A$31:$A$116,$A58,Szeptember!$B$31:$B$116))</f>
        <v>0</v>
      </c>
      <c r="K58" s="29" t="n">
        <f aca="false">IF($A58="","",SUMIF(Október!$A$31:$A$116,$A58,Október!$B$31:$B$116))</f>
        <v>0</v>
      </c>
      <c r="L58" s="29" t="n">
        <f aca="false">IF($A58="","",SUMIF(November!$A$31:$A$116,$A58,November!$B$31:$B$116))</f>
        <v>0</v>
      </c>
      <c r="M58" s="29" t="n">
        <f aca="false">IF($A58="","",SUMIF(December!$A$31:$A$116,$A58,December!$B$31:$B$116))</f>
        <v>0</v>
      </c>
      <c r="N58" s="15" t="n">
        <f aca="false">IF($A58="","",SUM(B58:M58))</f>
        <v>0</v>
      </c>
      <c r="O58" s="25" t="n">
        <f aca="false">IF($A58="","",N58/MAX(1,$Q$1))</f>
        <v>0</v>
      </c>
      <c r="P58" s="30" t="str">
        <f aca="false">IF(OR(N58="",$N$7=0),"",N58/$N$7)</f>
        <v/>
      </c>
    </row>
    <row r="59" customFormat="false" ht="15" hidden="false" customHeight="false" outlineLevel="0" collapsed="false">
      <c r="A59" s="28" t="str">
        <f aca="false">IFERROR(INDEX(_Segéd!$G$2:$G$793,MATCH(8,_Segéd!$H$2:$H$793,0)),"")</f>
        <v>Lakásbiztosítás</v>
      </c>
      <c r="B59" s="29" t="n">
        <f aca="false">IF($A59="","",SUMIF(Január!$A$31:$A$116,$A59,Január!$B$31:$B$116))</f>
        <v>0</v>
      </c>
      <c r="C59" s="29" t="n">
        <f aca="false">IF($A59="","",SUMIF(Február!$A$31:$A$116,$A59,Február!$B$31:$B$116))</f>
        <v>0</v>
      </c>
      <c r="D59" s="29" t="n">
        <f aca="false">IF($A59="","",SUMIF(Március!$A$31:$A$116,$A59,Március!$B$31:$B$116))</f>
        <v>0</v>
      </c>
      <c r="E59" s="29" t="n">
        <f aca="false">IF($A59="","",SUMIF(Április!$A$31:$A$116,$A59,Április!$B$31:$B$116))</f>
        <v>0</v>
      </c>
      <c r="F59" s="29" t="n">
        <f aca="false">IF($A59="","",SUMIF(Május!$A$31:$A$116,$A59,Május!$B$31:$B$116))</f>
        <v>0</v>
      </c>
      <c r="G59" s="29" t="n">
        <f aca="false">IF($A59="","",SUMIF(Június!$A$31:$A$116,$A59,Június!$B$31:$B$116))</f>
        <v>0</v>
      </c>
      <c r="H59" s="29" t="n">
        <f aca="false">IF($A59="","",SUMIF(Július!$A$31:$A$116,$A59,Július!$B$31:$B$116))</f>
        <v>0</v>
      </c>
      <c r="I59" s="29" t="n">
        <f aca="false">IF($A59="","",SUMIF(Augusztus!$A$31:$A$116,$A59,Augusztus!$B$31:$B$116))</f>
        <v>0</v>
      </c>
      <c r="J59" s="29" t="n">
        <f aca="false">IF($A59="","",SUMIF(Szeptember!$A$31:$A$116,$A59,Szeptember!$B$31:$B$116))</f>
        <v>0</v>
      </c>
      <c r="K59" s="29" t="n">
        <f aca="false">IF($A59="","",SUMIF(Október!$A$31:$A$116,$A59,Október!$B$31:$B$116))</f>
        <v>0</v>
      </c>
      <c r="L59" s="29" t="n">
        <f aca="false">IF($A59="","",SUMIF(November!$A$31:$A$116,$A59,November!$B$31:$B$116))</f>
        <v>0</v>
      </c>
      <c r="M59" s="29" t="n">
        <f aca="false">IF($A59="","",SUMIF(December!$A$31:$A$116,$A59,December!$B$31:$B$116))</f>
        <v>0</v>
      </c>
      <c r="N59" s="15" t="n">
        <f aca="false">IF($A59="","",SUM(B59:M59))</f>
        <v>0</v>
      </c>
      <c r="O59" s="25" t="n">
        <f aca="false">IF($A59="","",N59/MAX(1,$Q$1))</f>
        <v>0</v>
      </c>
      <c r="P59" s="30" t="str">
        <f aca="false">IF(OR(N59="",$N$7=0),"",N59/$N$7)</f>
        <v/>
      </c>
    </row>
    <row r="60" customFormat="false" ht="15" hidden="false" customHeight="false" outlineLevel="0" collapsed="false">
      <c r="A60" s="28" t="str">
        <f aca="false">IFERROR(INDEX(_Segéd!$G$2:$G$793,MATCH(9,_Segéd!$H$2:$H$793,0)),"")</f>
        <v>Életbiztosítás</v>
      </c>
      <c r="B60" s="29" t="n">
        <f aca="false">IF($A60="","",SUMIF(Január!$A$31:$A$116,$A60,Január!$B$31:$B$116))</f>
        <v>0</v>
      </c>
      <c r="C60" s="29" t="n">
        <f aca="false">IF($A60="","",SUMIF(Február!$A$31:$A$116,$A60,Február!$B$31:$B$116))</f>
        <v>0</v>
      </c>
      <c r="D60" s="29" t="n">
        <f aca="false">IF($A60="","",SUMIF(Március!$A$31:$A$116,$A60,Március!$B$31:$B$116))</f>
        <v>0</v>
      </c>
      <c r="E60" s="29" t="n">
        <f aca="false">IF($A60="","",SUMIF(Április!$A$31:$A$116,$A60,Április!$B$31:$B$116))</f>
        <v>0</v>
      </c>
      <c r="F60" s="29" t="n">
        <f aca="false">IF($A60="","",SUMIF(Május!$A$31:$A$116,$A60,Május!$B$31:$B$116))</f>
        <v>0</v>
      </c>
      <c r="G60" s="29" t="n">
        <f aca="false">IF($A60="","",SUMIF(Június!$A$31:$A$116,$A60,Június!$B$31:$B$116))</f>
        <v>0</v>
      </c>
      <c r="H60" s="29" t="n">
        <f aca="false">IF($A60="","",SUMIF(Július!$A$31:$A$116,$A60,Július!$B$31:$B$116))</f>
        <v>0</v>
      </c>
      <c r="I60" s="29" t="n">
        <f aca="false">IF($A60="","",SUMIF(Augusztus!$A$31:$A$116,$A60,Augusztus!$B$31:$B$116))</f>
        <v>0</v>
      </c>
      <c r="J60" s="29" t="n">
        <f aca="false">IF($A60="","",SUMIF(Szeptember!$A$31:$A$116,$A60,Szeptember!$B$31:$B$116))</f>
        <v>0</v>
      </c>
      <c r="K60" s="29" t="n">
        <f aca="false">IF($A60="","",SUMIF(Október!$A$31:$A$116,$A60,Október!$B$31:$B$116))</f>
        <v>0</v>
      </c>
      <c r="L60" s="29" t="n">
        <f aca="false">IF($A60="","",SUMIF(November!$A$31:$A$116,$A60,November!$B$31:$B$116))</f>
        <v>0</v>
      </c>
      <c r="M60" s="29" t="n">
        <f aca="false">IF($A60="","",SUMIF(December!$A$31:$A$116,$A60,December!$B$31:$B$116))</f>
        <v>0</v>
      </c>
      <c r="N60" s="15" t="n">
        <f aca="false">IF($A60="","",SUM(B60:M60))</f>
        <v>0</v>
      </c>
      <c r="O60" s="25" t="n">
        <f aca="false">IF($A60="","",N60/MAX(1,$Q$1))</f>
        <v>0</v>
      </c>
      <c r="P60" s="30" t="str">
        <f aca="false">IF(OR(N60="",$N$7=0),"",N60/$N$7)</f>
        <v/>
      </c>
    </row>
    <row r="61" customFormat="false" ht="15" hidden="false" customHeight="false" outlineLevel="0" collapsed="false">
      <c r="A61" s="28" t="str">
        <f aca="false">IFERROR(INDEX(_Segéd!$G$2:$G$793,MATCH(10,_Segéd!$H$2:$H$793,0)),"")</f>
        <v>Baleset- és betegségbiztosítás</v>
      </c>
      <c r="B61" s="29" t="n">
        <f aca="false">IF($A61="","",SUMIF(Január!$A$31:$A$116,$A61,Január!$B$31:$B$116))</f>
        <v>0</v>
      </c>
      <c r="C61" s="29" t="n">
        <f aca="false">IF($A61="","",SUMIF(Február!$A$31:$A$116,$A61,Február!$B$31:$B$116))</f>
        <v>0</v>
      </c>
      <c r="D61" s="29" t="n">
        <f aca="false">IF($A61="","",SUMIF(Március!$A$31:$A$116,$A61,Március!$B$31:$B$116))</f>
        <v>0</v>
      </c>
      <c r="E61" s="29" t="n">
        <f aca="false">IF($A61="","",SUMIF(Április!$A$31:$A$116,$A61,Április!$B$31:$B$116))</f>
        <v>0</v>
      </c>
      <c r="F61" s="29" t="n">
        <f aca="false">IF($A61="","",SUMIF(Május!$A$31:$A$116,$A61,Május!$B$31:$B$116))</f>
        <v>0</v>
      </c>
      <c r="G61" s="29" t="n">
        <f aca="false">IF($A61="","",SUMIF(Június!$A$31:$A$116,$A61,Június!$B$31:$B$116))</f>
        <v>0</v>
      </c>
      <c r="H61" s="29" t="n">
        <f aca="false">IF($A61="","",SUMIF(Július!$A$31:$A$116,$A61,Július!$B$31:$B$116))</f>
        <v>0</v>
      </c>
      <c r="I61" s="29" t="n">
        <f aca="false">IF($A61="","",SUMIF(Augusztus!$A$31:$A$116,$A61,Augusztus!$B$31:$B$116))</f>
        <v>0</v>
      </c>
      <c r="J61" s="29" t="n">
        <f aca="false">IF($A61="","",SUMIF(Szeptember!$A$31:$A$116,$A61,Szeptember!$B$31:$B$116))</f>
        <v>0</v>
      </c>
      <c r="K61" s="29" t="n">
        <f aca="false">IF($A61="","",SUMIF(Október!$A$31:$A$116,$A61,Október!$B$31:$B$116))</f>
        <v>0</v>
      </c>
      <c r="L61" s="29" t="n">
        <f aca="false">IF($A61="","",SUMIF(November!$A$31:$A$116,$A61,November!$B$31:$B$116))</f>
        <v>0</v>
      </c>
      <c r="M61" s="29" t="n">
        <f aca="false">IF($A61="","",SUMIF(December!$A$31:$A$116,$A61,December!$B$31:$B$116))</f>
        <v>0</v>
      </c>
      <c r="N61" s="15" t="n">
        <f aca="false">IF($A61="","",SUM(B61:M61))</f>
        <v>0</v>
      </c>
      <c r="O61" s="25" t="n">
        <f aca="false">IF($A61="","",N61/MAX(1,$Q$1))</f>
        <v>0</v>
      </c>
      <c r="P61" s="30" t="str">
        <f aca="false">IF(OR(N61="",$N$7=0),"",N61/$N$7)</f>
        <v/>
      </c>
    </row>
    <row r="62" customFormat="false" ht="15" hidden="false" customHeight="false" outlineLevel="0" collapsed="false">
      <c r="A62" s="28" t="str">
        <f aca="false">IFERROR(INDEX(_Segéd!$G$2:$G$793,MATCH(11,_Segéd!$H$2:$H$793,0)),"")</f>
        <v>Egészségbiztosítás</v>
      </c>
      <c r="B62" s="29" t="n">
        <f aca="false">IF($A62="","",SUMIF(Január!$A$31:$A$116,$A62,Január!$B$31:$B$116))</f>
        <v>0</v>
      </c>
      <c r="C62" s="29" t="n">
        <f aca="false">IF($A62="","",SUMIF(Február!$A$31:$A$116,$A62,Február!$B$31:$B$116))</f>
        <v>0</v>
      </c>
      <c r="D62" s="29" t="n">
        <f aca="false">IF($A62="","",SUMIF(Március!$A$31:$A$116,$A62,Március!$B$31:$B$116))</f>
        <v>0</v>
      </c>
      <c r="E62" s="29" t="n">
        <f aca="false">IF($A62="","",SUMIF(Április!$A$31:$A$116,$A62,Április!$B$31:$B$116))</f>
        <v>0</v>
      </c>
      <c r="F62" s="29" t="n">
        <f aca="false">IF($A62="","",SUMIF(Május!$A$31:$A$116,$A62,Május!$B$31:$B$116))</f>
        <v>0</v>
      </c>
      <c r="G62" s="29" t="n">
        <f aca="false">IF($A62="","",SUMIF(Június!$A$31:$A$116,$A62,Június!$B$31:$B$116))</f>
        <v>0</v>
      </c>
      <c r="H62" s="29" t="n">
        <f aca="false">IF($A62="","",SUMIF(Július!$A$31:$A$116,$A62,Július!$B$31:$B$116))</f>
        <v>0</v>
      </c>
      <c r="I62" s="29" t="n">
        <f aca="false">IF($A62="","",SUMIF(Augusztus!$A$31:$A$116,$A62,Augusztus!$B$31:$B$116))</f>
        <v>0</v>
      </c>
      <c r="J62" s="29" t="n">
        <f aca="false">IF($A62="","",SUMIF(Szeptember!$A$31:$A$116,$A62,Szeptember!$B$31:$B$116))</f>
        <v>0</v>
      </c>
      <c r="K62" s="29" t="n">
        <f aca="false">IF($A62="","",SUMIF(Október!$A$31:$A$116,$A62,Október!$B$31:$B$116))</f>
        <v>0</v>
      </c>
      <c r="L62" s="29" t="n">
        <f aca="false">IF($A62="","",SUMIF(November!$A$31:$A$116,$A62,November!$B$31:$B$116))</f>
        <v>0</v>
      </c>
      <c r="M62" s="29" t="n">
        <f aca="false">IF($A62="","",SUMIF(December!$A$31:$A$116,$A62,December!$B$31:$B$116))</f>
        <v>0</v>
      </c>
      <c r="N62" s="15" t="n">
        <f aca="false">IF($A62="","",SUM(B62:M62))</f>
        <v>0</v>
      </c>
      <c r="O62" s="25" t="n">
        <f aca="false">IF($A62="","",N62/MAX(1,$Q$1))</f>
        <v>0</v>
      </c>
      <c r="P62" s="30" t="str">
        <f aca="false">IF(OR(N62="",$N$7=0),"",N62/$N$7)</f>
        <v/>
      </c>
    </row>
    <row r="63" customFormat="false" ht="15" hidden="false" customHeight="false" outlineLevel="0" collapsed="false">
      <c r="A63" s="28" t="str">
        <f aca="false">IFERROR(INDEX(_Segéd!$G$2:$G$793,MATCH(12,_Segéd!$H$2:$H$793,0)),"")</f>
        <v>Hiteltörlesztés</v>
      </c>
      <c r="B63" s="29" t="n">
        <f aca="false">IF($A63="","",SUMIF(Január!$A$31:$A$116,$A63,Január!$B$31:$B$116))</f>
        <v>0</v>
      </c>
      <c r="C63" s="29" t="n">
        <f aca="false">IF($A63="","",SUMIF(Február!$A$31:$A$116,$A63,Február!$B$31:$B$116))</f>
        <v>0</v>
      </c>
      <c r="D63" s="29" t="n">
        <f aca="false">IF($A63="","",SUMIF(Március!$A$31:$A$116,$A63,Március!$B$31:$B$116))</f>
        <v>0</v>
      </c>
      <c r="E63" s="29" t="n">
        <f aca="false">IF($A63="","",SUMIF(Április!$A$31:$A$116,$A63,Április!$B$31:$B$116))</f>
        <v>0</v>
      </c>
      <c r="F63" s="29" t="n">
        <f aca="false">IF($A63="","",SUMIF(Május!$A$31:$A$116,$A63,Május!$B$31:$B$116))</f>
        <v>0</v>
      </c>
      <c r="G63" s="29" t="n">
        <f aca="false">IF($A63="","",SUMIF(Június!$A$31:$A$116,$A63,Június!$B$31:$B$116))</f>
        <v>0</v>
      </c>
      <c r="H63" s="29" t="n">
        <f aca="false">IF($A63="","",SUMIF(Július!$A$31:$A$116,$A63,Július!$B$31:$B$116))</f>
        <v>0</v>
      </c>
      <c r="I63" s="29" t="n">
        <f aca="false">IF($A63="","",SUMIF(Augusztus!$A$31:$A$116,$A63,Augusztus!$B$31:$B$116))</f>
        <v>0</v>
      </c>
      <c r="J63" s="29" t="n">
        <f aca="false">IF($A63="","",SUMIF(Szeptember!$A$31:$A$116,$A63,Szeptember!$B$31:$B$116))</f>
        <v>0</v>
      </c>
      <c r="K63" s="29" t="n">
        <f aca="false">IF($A63="","",SUMIF(Október!$A$31:$A$116,$A63,Október!$B$31:$B$116))</f>
        <v>0</v>
      </c>
      <c r="L63" s="29" t="n">
        <f aca="false">IF($A63="","",SUMIF(November!$A$31:$A$116,$A63,November!$B$31:$B$116))</f>
        <v>0</v>
      </c>
      <c r="M63" s="29" t="n">
        <f aca="false">IF($A63="","",SUMIF(December!$A$31:$A$116,$A63,December!$B$31:$B$116))</f>
        <v>0</v>
      </c>
      <c r="N63" s="15" t="n">
        <f aca="false">IF($A63="","",SUM(B63:M63))</f>
        <v>0</v>
      </c>
      <c r="O63" s="25" t="n">
        <f aca="false">IF($A63="","",N63/MAX(1,$Q$1))</f>
        <v>0</v>
      </c>
      <c r="P63" s="30" t="str">
        <f aca="false">IF(OR(N63="",$N$7=0),"",N63/$N$7)</f>
        <v/>
      </c>
    </row>
    <row r="64" customFormat="false" ht="15" hidden="false" customHeight="false" outlineLevel="0" collapsed="false">
      <c r="A64" s="28" t="str">
        <f aca="false">IFERROR(INDEX(_Segéd!$G$2:$G$793,MATCH(13,_Segéd!$H$2:$H$793,0)),"")</f>
        <v>Egyéb szerződés</v>
      </c>
      <c r="B64" s="29" t="n">
        <f aca="false">IF($A64="","",SUMIF(Január!$A$31:$A$116,$A64,Január!$B$31:$B$116))</f>
        <v>0</v>
      </c>
      <c r="C64" s="29" t="n">
        <f aca="false">IF($A64="","",SUMIF(Február!$A$31:$A$116,$A64,Február!$B$31:$B$116))</f>
        <v>0</v>
      </c>
      <c r="D64" s="29" t="n">
        <f aca="false">IF($A64="","",SUMIF(Március!$A$31:$A$116,$A64,Március!$B$31:$B$116))</f>
        <v>0</v>
      </c>
      <c r="E64" s="29" t="n">
        <f aca="false">IF($A64="","",SUMIF(Április!$A$31:$A$116,$A64,Április!$B$31:$B$116))</f>
        <v>0</v>
      </c>
      <c r="F64" s="29" t="n">
        <f aca="false">IF($A64="","",SUMIF(Május!$A$31:$A$116,$A64,Május!$B$31:$B$116))</f>
        <v>0</v>
      </c>
      <c r="G64" s="29" t="n">
        <f aca="false">IF($A64="","",SUMIF(Június!$A$31:$A$116,$A64,Június!$B$31:$B$116))</f>
        <v>0</v>
      </c>
      <c r="H64" s="29" t="n">
        <f aca="false">IF($A64="","",SUMIF(Július!$A$31:$A$116,$A64,Július!$B$31:$B$116))</f>
        <v>0</v>
      </c>
      <c r="I64" s="29" t="n">
        <f aca="false">IF($A64="","",SUMIF(Augusztus!$A$31:$A$116,$A64,Augusztus!$B$31:$B$116))</f>
        <v>0</v>
      </c>
      <c r="J64" s="29" t="n">
        <f aca="false">IF($A64="","",SUMIF(Szeptember!$A$31:$A$116,$A64,Szeptember!$B$31:$B$116))</f>
        <v>0</v>
      </c>
      <c r="K64" s="29" t="n">
        <f aca="false">IF($A64="","",SUMIF(Október!$A$31:$A$116,$A64,Október!$B$31:$B$116))</f>
        <v>0</v>
      </c>
      <c r="L64" s="29" t="n">
        <f aca="false">IF($A64="","",SUMIF(November!$A$31:$A$116,$A64,November!$B$31:$B$116))</f>
        <v>0</v>
      </c>
      <c r="M64" s="29" t="n">
        <f aca="false">IF($A64="","",SUMIF(December!$A$31:$A$116,$A64,December!$B$31:$B$116))</f>
        <v>0</v>
      </c>
      <c r="N64" s="15" t="n">
        <f aca="false">IF($A64="","",SUM(B64:M64))</f>
        <v>0</v>
      </c>
      <c r="O64" s="25" t="n">
        <f aca="false">IF($A64="","",N64/MAX(1,$Q$1))</f>
        <v>0</v>
      </c>
      <c r="P64" s="30" t="str">
        <f aca="false">IF(OR(N64="",$N$7=0),"",N64/$N$7)</f>
        <v/>
      </c>
    </row>
    <row r="65" customFormat="false" ht="15" hidden="false" customHeight="false" outlineLevel="0" collapsed="false">
      <c r="A65" s="28" t="str">
        <f aca="false">IFERROR(INDEX(_Segéd!$G$2:$G$793,MATCH(14,_Segéd!$H$2:$H$793,0)),"")</f>
        <v>Üzemanyag, elektromos töltés</v>
      </c>
      <c r="B65" s="29" t="n">
        <f aca="false">IF($A65="","",SUMIF(Január!$A$31:$A$116,$A65,Január!$B$31:$B$116))</f>
        <v>0</v>
      </c>
      <c r="C65" s="29" t="n">
        <f aca="false">IF($A65="","",SUMIF(Február!$A$31:$A$116,$A65,Február!$B$31:$B$116))</f>
        <v>0</v>
      </c>
      <c r="D65" s="29" t="n">
        <f aca="false">IF($A65="","",SUMIF(Március!$A$31:$A$116,$A65,Március!$B$31:$B$116))</f>
        <v>0</v>
      </c>
      <c r="E65" s="29" t="n">
        <f aca="false">IF($A65="","",SUMIF(Április!$A$31:$A$116,$A65,Április!$B$31:$B$116))</f>
        <v>0</v>
      </c>
      <c r="F65" s="29" t="n">
        <f aca="false">IF($A65="","",SUMIF(Május!$A$31:$A$116,$A65,Május!$B$31:$B$116))</f>
        <v>0</v>
      </c>
      <c r="G65" s="29" t="n">
        <f aca="false">IF($A65="","",SUMIF(Június!$A$31:$A$116,$A65,Június!$B$31:$B$116))</f>
        <v>0</v>
      </c>
      <c r="H65" s="29" t="n">
        <f aca="false">IF($A65="","",SUMIF(Július!$A$31:$A$116,$A65,Július!$B$31:$B$116))</f>
        <v>0</v>
      </c>
      <c r="I65" s="29" t="n">
        <f aca="false">IF($A65="","",SUMIF(Augusztus!$A$31:$A$116,$A65,Augusztus!$B$31:$B$116))</f>
        <v>0</v>
      </c>
      <c r="J65" s="29" t="n">
        <f aca="false">IF($A65="","",SUMIF(Szeptember!$A$31:$A$116,$A65,Szeptember!$B$31:$B$116))</f>
        <v>0</v>
      </c>
      <c r="K65" s="29" t="n">
        <f aca="false">IF($A65="","",SUMIF(Október!$A$31:$A$116,$A65,Október!$B$31:$B$116))</f>
        <v>0</v>
      </c>
      <c r="L65" s="29" t="n">
        <f aca="false">IF($A65="","",SUMIF(November!$A$31:$A$116,$A65,November!$B$31:$B$116))</f>
        <v>0</v>
      </c>
      <c r="M65" s="29" t="n">
        <f aca="false">IF($A65="","",SUMIF(December!$A$31:$A$116,$A65,December!$B$31:$B$116))</f>
        <v>0</v>
      </c>
      <c r="N65" s="15" t="n">
        <f aca="false">IF($A65="","",SUM(B65:M65))</f>
        <v>0</v>
      </c>
      <c r="O65" s="25" t="n">
        <f aca="false">IF($A65="","",N65/MAX(1,$Q$1))</f>
        <v>0</v>
      </c>
      <c r="P65" s="30" t="str">
        <f aca="false">IF(OR(N65="",$N$7=0),"",N65/$N$7)</f>
        <v/>
      </c>
    </row>
    <row r="66" customFormat="false" ht="15" hidden="false" customHeight="false" outlineLevel="0" collapsed="false">
      <c r="A66" s="28" t="str">
        <f aca="false">IFERROR(INDEX(_Segéd!$G$2:$G$793,MATCH(15,_Segéd!$H$2:$H$793,0)),"")</f>
        <v>Parkolás, útdíj, autópálya-matrica</v>
      </c>
      <c r="B66" s="29" t="n">
        <f aca="false">IF($A66="","",SUMIF(Január!$A$31:$A$116,$A66,Január!$B$31:$B$116))</f>
        <v>0</v>
      </c>
      <c r="C66" s="29" t="n">
        <f aca="false">IF($A66="","",SUMIF(Február!$A$31:$A$116,$A66,Február!$B$31:$B$116))</f>
        <v>0</v>
      </c>
      <c r="D66" s="29" t="n">
        <f aca="false">IF($A66="","",SUMIF(Március!$A$31:$A$116,$A66,Március!$B$31:$B$116))</f>
        <v>0</v>
      </c>
      <c r="E66" s="29" t="n">
        <f aca="false">IF($A66="","",SUMIF(Április!$A$31:$A$116,$A66,Április!$B$31:$B$116))</f>
        <v>0</v>
      </c>
      <c r="F66" s="29" t="n">
        <f aca="false">IF($A66="","",SUMIF(Május!$A$31:$A$116,$A66,Május!$B$31:$B$116))</f>
        <v>0</v>
      </c>
      <c r="G66" s="29" t="n">
        <f aca="false">IF($A66="","",SUMIF(Június!$A$31:$A$116,$A66,Június!$B$31:$B$116))</f>
        <v>0</v>
      </c>
      <c r="H66" s="29" t="n">
        <f aca="false">IF($A66="","",SUMIF(Július!$A$31:$A$116,$A66,Július!$B$31:$B$116))</f>
        <v>0</v>
      </c>
      <c r="I66" s="29" t="n">
        <f aca="false">IF($A66="","",SUMIF(Augusztus!$A$31:$A$116,$A66,Augusztus!$B$31:$B$116))</f>
        <v>0</v>
      </c>
      <c r="J66" s="29" t="n">
        <f aca="false">IF($A66="","",SUMIF(Szeptember!$A$31:$A$116,$A66,Szeptember!$B$31:$B$116))</f>
        <v>0</v>
      </c>
      <c r="K66" s="29" t="n">
        <f aca="false">IF($A66="","",SUMIF(Október!$A$31:$A$116,$A66,Október!$B$31:$B$116))</f>
        <v>0</v>
      </c>
      <c r="L66" s="29" t="n">
        <f aca="false">IF($A66="","",SUMIF(November!$A$31:$A$116,$A66,November!$B$31:$B$116))</f>
        <v>0</v>
      </c>
      <c r="M66" s="29" t="n">
        <f aca="false">IF($A66="","",SUMIF(December!$A$31:$A$116,$A66,December!$B$31:$B$116))</f>
        <v>0</v>
      </c>
      <c r="N66" s="15" t="n">
        <f aca="false">IF($A66="","",SUM(B66:M66))</f>
        <v>0</v>
      </c>
      <c r="O66" s="25" t="n">
        <f aca="false">IF($A66="","",N66/MAX(1,$Q$1))</f>
        <v>0</v>
      </c>
      <c r="P66" s="30" t="str">
        <f aca="false">IF(OR(N66="",$N$7=0),"",N66/$N$7)</f>
        <v/>
      </c>
    </row>
    <row r="67" customFormat="false" ht="15" hidden="false" customHeight="false" outlineLevel="0" collapsed="false">
      <c r="A67" s="28" t="str">
        <f aca="false">IFERROR(INDEX(_Segéd!$G$2:$G$793,MATCH(16,_Segéd!$H$2:$H$793,0)),"")</f>
        <v>Szerviz, karbantartás, gumicsere</v>
      </c>
      <c r="B67" s="29" t="n">
        <f aca="false">IF($A67="","",SUMIF(Január!$A$31:$A$116,$A67,Január!$B$31:$B$116))</f>
        <v>0</v>
      </c>
      <c r="C67" s="29" t="n">
        <f aca="false">IF($A67="","",SUMIF(Február!$A$31:$A$116,$A67,Február!$B$31:$B$116))</f>
        <v>0</v>
      </c>
      <c r="D67" s="29" t="n">
        <f aca="false">IF($A67="","",SUMIF(Március!$A$31:$A$116,$A67,Március!$B$31:$B$116))</f>
        <v>0</v>
      </c>
      <c r="E67" s="29" t="n">
        <f aca="false">IF($A67="","",SUMIF(Április!$A$31:$A$116,$A67,Április!$B$31:$B$116))</f>
        <v>0</v>
      </c>
      <c r="F67" s="29" t="n">
        <f aca="false">IF($A67="","",SUMIF(Május!$A$31:$A$116,$A67,Május!$B$31:$B$116))</f>
        <v>0</v>
      </c>
      <c r="G67" s="29" t="n">
        <f aca="false">IF($A67="","",SUMIF(Június!$A$31:$A$116,$A67,Június!$B$31:$B$116))</f>
        <v>0</v>
      </c>
      <c r="H67" s="29" t="n">
        <f aca="false">IF($A67="","",SUMIF(Július!$A$31:$A$116,$A67,Július!$B$31:$B$116))</f>
        <v>0</v>
      </c>
      <c r="I67" s="29" t="n">
        <f aca="false">IF($A67="","",SUMIF(Augusztus!$A$31:$A$116,$A67,Augusztus!$B$31:$B$116))</f>
        <v>0</v>
      </c>
      <c r="J67" s="29" t="n">
        <f aca="false">IF($A67="","",SUMIF(Szeptember!$A$31:$A$116,$A67,Szeptember!$B$31:$B$116))</f>
        <v>0</v>
      </c>
      <c r="K67" s="29" t="n">
        <f aca="false">IF($A67="","",SUMIF(Október!$A$31:$A$116,$A67,Október!$B$31:$B$116))</f>
        <v>0</v>
      </c>
      <c r="L67" s="29" t="n">
        <f aca="false">IF($A67="","",SUMIF(November!$A$31:$A$116,$A67,November!$B$31:$B$116))</f>
        <v>0</v>
      </c>
      <c r="M67" s="29" t="n">
        <f aca="false">IF($A67="","",SUMIF(December!$A$31:$A$116,$A67,December!$B$31:$B$116))</f>
        <v>0</v>
      </c>
      <c r="N67" s="15" t="n">
        <f aca="false">IF($A67="","",SUM(B67:M67))</f>
        <v>0</v>
      </c>
      <c r="O67" s="25" t="n">
        <f aca="false">IF($A67="","",N67/MAX(1,$Q$1))</f>
        <v>0</v>
      </c>
      <c r="P67" s="30" t="str">
        <f aca="false">IF(OR(N67="",$N$7=0),"",N67/$N$7)</f>
        <v/>
      </c>
    </row>
    <row r="68" customFormat="false" ht="15" hidden="false" customHeight="false" outlineLevel="0" collapsed="false">
      <c r="A68" s="28" t="str">
        <f aca="false">IFERROR(INDEX(_Segéd!$G$2:$G$793,MATCH(17,_Segéd!$H$2:$H$793,0)),"")</f>
        <v>KGFB (kötelező biztosítás)</v>
      </c>
      <c r="B68" s="29" t="n">
        <f aca="false">IF($A68="","",SUMIF(Január!$A$31:$A$116,$A68,Január!$B$31:$B$116))</f>
        <v>0</v>
      </c>
      <c r="C68" s="29" t="n">
        <f aca="false">IF($A68="","",SUMIF(Február!$A$31:$A$116,$A68,Február!$B$31:$B$116))</f>
        <v>0</v>
      </c>
      <c r="D68" s="29" t="n">
        <f aca="false">IF($A68="","",SUMIF(Március!$A$31:$A$116,$A68,Március!$B$31:$B$116))</f>
        <v>0</v>
      </c>
      <c r="E68" s="29" t="n">
        <f aca="false">IF($A68="","",SUMIF(Április!$A$31:$A$116,$A68,Április!$B$31:$B$116))</f>
        <v>0</v>
      </c>
      <c r="F68" s="29" t="n">
        <f aca="false">IF($A68="","",SUMIF(Május!$A$31:$A$116,$A68,Május!$B$31:$B$116))</f>
        <v>0</v>
      </c>
      <c r="G68" s="29" t="n">
        <f aca="false">IF($A68="","",SUMIF(Június!$A$31:$A$116,$A68,Június!$B$31:$B$116))</f>
        <v>0</v>
      </c>
      <c r="H68" s="29" t="n">
        <f aca="false">IF($A68="","",SUMIF(Július!$A$31:$A$116,$A68,Július!$B$31:$B$116))</f>
        <v>0</v>
      </c>
      <c r="I68" s="29" t="n">
        <f aca="false">IF($A68="","",SUMIF(Augusztus!$A$31:$A$116,$A68,Augusztus!$B$31:$B$116))</f>
        <v>0</v>
      </c>
      <c r="J68" s="29" t="n">
        <f aca="false">IF($A68="","",SUMIF(Szeptember!$A$31:$A$116,$A68,Szeptember!$B$31:$B$116))</f>
        <v>0</v>
      </c>
      <c r="K68" s="29" t="n">
        <f aca="false">IF($A68="","",SUMIF(Október!$A$31:$A$116,$A68,Október!$B$31:$B$116))</f>
        <v>0</v>
      </c>
      <c r="L68" s="29" t="n">
        <f aca="false">IF($A68="","",SUMIF(November!$A$31:$A$116,$A68,November!$B$31:$B$116))</f>
        <v>0</v>
      </c>
      <c r="M68" s="29" t="n">
        <f aca="false">IF($A68="","",SUMIF(December!$A$31:$A$116,$A68,December!$B$31:$B$116))</f>
        <v>0</v>
      </c>
      <c r="N68" s="15" t="n">
        <f aca="false">IF($A68="","",SUM(B68:M68))</f>
        <v>0</v>
      </c>
      <c r="O68" s="25" t="n">
        <f aca="false">IF($A68="","",N68/MAX(1,$Q$1))</f>
        <v>0</v>
      </c>
      <c r="P68" s="30" t="str">
        <f aca="false">IF(OR(N68="",$N$7=0),"",N68/$N$7)</f>
        <v/>
      </c>
    </row>
    <row r="69" customFormat="false" ht="15" hidden="false" customHeight="false" outlineLevel="0" collapsed="false">
      <c r="A69" s="28" t="str">
        <f aca="false">IFERROR(INDEX(_Segéd!$G$2:$G$793,MATCH(18,_Segéd!$H$2:$H$793,0)),"")</f>
        <v>CASCO</v>
      </c>
      <c r="B69" s="29" t="n">
        <f aca="false">IF($A69="","",SUMIF(Január!$A$31:$A$116,$A69,Január!$B$31:$B$116))</f>
        <v>0</v>
      </c>
      <c r="C69" s="29" t="n">
        <f aca="false">IF($A69="","",SUMIF(Február!$A$31:$A$116,$A69,Február!$B$31:$B$116))</f>
        <v>0</v>
      </c>
      <c r="D69" s="29" t="n">
        <f aca="false">IF($A69="","",SUMIF(Március!$A$31:$A$116,$A69,Március!$B$31:$B$116))</f>
        <v>0</v>
      </c>
      <c r="E69" s="29" t="n">
        <f aca="false">IF($A69="","",SUMIF(Április!$A$31:$A$116,$A69,Április!$B$31:$B$116))</f>
        <v>0</v>
      </c>
      <c r="F69" s="29" t="n">
        <f aca="false">IF($A69="","",SUMIF(Május!$A$31:$A$116,$A69,Május!$B$31:$B$116))</f>
        <v>0</v>
      </c>
      <c r="G69" s="29" t="n">
        <f aca="false">IF($A69="","",SUMIF(Június!$A$31:$A$116,$A69,Június!$B$31:$B$116))</f>
        <v>0</v>
      </c>
      <c r="H69" s="29" t="n">
        <f aca="false">IF($A69="","",SUMIF(Július!$A$31:$A$116,$A69,Július!$B$31:$B$116))</f>
        <v>0</v>
      </c>
      <c r="I69" s="29" t="n">
        <f aca="false">IF($A69="","",SUMIF(Augusztus!$A$31:$A$116,$A69,Augusztus!$B$31:$B$116))</f>
        <v>0</v>
      </c>
      <c r="J69" s="29" t="n">
        <f aca="false">IF($A69="","",SUMIF(Szeptember!$A$31:$A$116,$A69,Szeptember!$B$31:$B$116))</f>
        <v>0</v>
      </c>
      <c r="K69" s="29" t="n">
        <f aca="false">IF($A69="","",SUMIF(Október!$A$31:$A$116,$A69,Október!$B$31:$B$116))</f>
        <v>0</v>
      </c>
      <c r="L69" s="29" t="n">
        <f aca="false">IF($A69="","",SUMIF(November!$A$31:$A$116,$A69,November!$B$31:$B$116))</f>
        <v>0</v>
      </c>
      <c r="M69" s="29" t="n">
        <f aca="false">IF($A69="","",SUMIF(December!$A$31:$A$116,$A69,December!$B$31:$B$116))</f>
        <v>0</v>
      </c>
      <c r="N69" s="15" t="n">
        <f aca="false">IF($A69="","",SUM(B69:M69))</f>
        <v>0</v>
      </c>
      <c r="O69" s="25" t="n">
        <f aca="false">IF($A69="","",N69/MAX(1,$Q$1))</f>
        <v>0</v>
      </c>
      <c r="P69" s="30" t="str">
        <f aca="false">IF(OR(N69="",$N$7=0),"",N69/$N$7)</f>
        <v/>
      </c>
    </row>
    <row r="70" customFormat="false" ht="15" hidden="false" customHeight="false" outlineLevel="0" collapsed="false">
      <c r="A70" s="28" t="str">
        <f aca="false">IFERROR(INDEX(_Segéd!$G$2:$G$793,MATCH(19,_Segéd!$H$2:$H$793,0)),"")</f>
        <v>Gépjárműadó</v>
      </c>
      <c r="B70" s="29" t="n">
        <f aca="false">IF($A70="","",SUMIF(Január!$A$31:$A$116,$A70,Január!$B$31:$B$116))</f>
        <v>0</v>
      </c>
      <c r="C70" s="29" t="n">
        <f aca="false">IF($A70="","",SUMIF(Február!$A$31:$A$116,$A70,Február!$B$31:$B$116))</f>
        <v>0</v>
      </c>
      <c r="D70" s="29" t="n">
        <f aca="false">IF($A70="","",SUMIF(Március!$A$31:$A$116,$A70,Március!$B$31:$B$116))</f>
        <v>0</v>
      </c>
      <c r="E70" s="29" t="n">
        <f aca="false">IF($A70="","",SUMIF(Április!$A$31:$A$116,$A70,Április!$B$31:$B$116))</f>
        <v>0</v>
      </c>
      <c r="F70" s="29" t="n">
        <f aca="false">IF($A70="","",SUMIF(Május!$A$31:$A$116,$A70,Május!$B$31:$B$116))</f>
        <v>0</v>
      </c>
      <c r="G70" s="29" t="n">
        <f aca="false">IF($A70="","",SUMIF(Június!$A$31:$A$116,$A70,Június!$B$31:$B$116))</f>
        <v>0</v>
      </c>
      <c r="H70" s="29" t="n">
        <f aca="false">IF($A70="","",SUMIF(Július!$A$31:$A$116,$A70,Július!$B$31:$B$116))</f>
        <v>0</v>
      </c>
      <c r="I70" s="29" t="n">
        <f aca="false">IF($A70="","",SUMIF(Augusztus!$A$31:$A$116,$A70,Augusztus!$B$31:$B$116))</f>
        <v>0</v>
      </c>
      <c r="J70" s="29" t="n">
        <f aca="false">IF($A70="","",SUMIF(Szeptember!$A$31:$A$116,$A70,Szeptember!$B$31:$B$116))</f>
        <v>0</v>
      </c>
      <c r="K70" s="29" t="n">
        <f aca="false">IF($A70="","",SUMIF(Október!$A$31:$A$116,$A70,Október!$B$31:$B$116))</f>
        <v>0</v>
      </c>
      <c r="L70" s="29" t="n">
        <f aca="false">IF($A70="","",SUMIF(November!$A$31:$A$116,$A70,November!$B$31:$B$116))</f>
        <v>0</v>
      </c>
      <c r="M70" s="29" t="n">
        <f aca="false">IF($A70="","",SUMIF(December!$A$31:$A$116,$A70,December!$B$31:$B$116))</f>
        <v>0</v>
      </c>
      <c r="N70" s="15" t="n">
        <f aca="false">IF($A70="","",SUM(B70:M70))</f>
        <v>0</v>
      </c>
      <c r="O70" s="25" t="n">
        <f aca="false">IF($A70="","",N70/MAX(1,$Q$1))</f>
        <v>0</v>
      </c>
      <c r="P70" s="30" t="str">
        <f aca="false">IF(OR(N70="",$N$7=0),"",N70/$N$7)</f>
        <v/>
      </c>
    </row>
    <row r="71" customFormat="false" ht="15" hidden="false" customHeight="false" outlineLevel="0" collapsed="false">
      <c r="A71" s="28" t="str">
        <f aca="false">IFERROR(INDEX(_Segéd!$G$2:$G$793,MATCH(20,_Segéd!$H$2:$H$793,0)),"")</f>
        <v>Autóhitel, lízing részlet</v>
      </c>
      <c r="B71" s="29" t="n">
        <f aca="false">IF($A71="","",SUMIF(Január!$A$31:$A$116,$A71,Január!$B$31:$B$116))</f>
        <v>0</v>
      </c>
      <c r="C71" s="29" t="n">
        <f aca="false">IF($A71="","",SUMIF(Február!$A$31:$A$116,$A71,Február!$B$31:$B$116))</f>
        <v>0</v>
      </c>
      <c r="D71" s="29" t="n">
        <f aca="false">IF($A71="","",SUMIF(Március!$A$31:$A$116,$A71,Március!$B$31:$B$116))</f>
        <v>0</v>
      </c>
      <c r="E71" s="29" t="n">
        <f aca="false">IF($A71="","",SUMIF(Április!$A$31:$A$116,$A71,Április!$B$31:$B$116))</f>
        <v>0</v>
      </c>
      <c r="F71" s="29" t="n">
        <f aca="false">IF($A71="","",SUMIF(Május!$A$31:$A$116,$A71,Május!$B$31:$B$116))</f>
        <v>0</v>
      </c>
      <c r="G71" s="29" t="n">
        <f aca="false">IF($A71="","",SUMIF(Június!$A$31:$A$116,$A71,Június!$B$31:$B$116))</f>
        <v>0</v>
      </c>
      <c r="H71" s="29" t="n">
        <f aca="false">IF($A71="","",SUMIF(Július!$A$31:$A$116,$A71,Július!$B$31:$B$116))</f>
        <v>0</v>
      </c>
      <c r="I71" s="29" t="n">
        <f aca="false">IF($A71="","",SUMIF(Augusztus!$A$31:$A$116,$A71,Augusztus!$B$31:$B$116))</f>
        <v>0</v>
      </c>
      <c r="J71" s="29" t="n">
        <f aca="false">IF($A71="","",SUMIF(Szeptember!$A$31:$A$116,$A71,Szeptember!$B$31:$B$116))</f>
        <v>0</v>
      </c>
      <c r="K71" s="29" t="n">
        <f aca="false">IF($A71="","",SUMIF(Október!$A$31:$A$116,$A71,Október!$B$31:$B$116))</f>
        <v>0</v>
      </c>
      <c r="L71" s="29" t="n">
        <f aca="false">IF($A71="","",SUMIF(November!$A$31:$A$116,$A71,November!$B$31:$B$116))</f>
        <v>0</v>
      </c>
      <c r="M71" s="29" t="n">
        <f aca="false">IF($A71="","",SUMIF(December!$A$31:$A$116,$A71,December!$B$31:$B$116))</f>
        <v>0</v>
      </c>
      <c r="N71" s="15" t="n">
        <f aca="false">IF($A71="","",SUM(B71:M71))</f>
        <v>0</v>
      </c>
      <c r="O71" s="25" t="n">
        <f aca="false">IF($A71="","",N71/MAX(1,$Q$1))</f>
        <v>0</v>
      </c>
      <c r="P71" s="30" t="str">
        <f aca="false">IF(OR(N71="",$N$7=0),"",N71/$N$7)</f>
        <v/>
      </c>
    </row>
    <row r="72" customFormat="false" ht="15" hidden="false" customHeight="false" outlineLevel="0" collapsed="false">
      <c r="A72" s="28" t="str">
        <f aca="false">IFERROR(INDEX(_Segéd!$G$2:$G$793,MATCH(21,_Segéd!$H$2:$H$793,0)),"")</f>
        <v>Autómosás, egyéb autós költség</v>
      </c>
      <c r="B72" s="29" t="n">
        <f aca="false">IF($A72="","",SUMIF(Január!$A$31:$A$116,$A72,Január!$B$31:$B$116))</f>
        <v>0</v>
      </c>
      <c r="C72" s="29" t="n">
        <f aca="false">IF($A72="","",SUMIF(Február!$A$31:$A$116,$A72,Február!$B$31:$B$116))</f>
        <v>0</v>
      </c>
      <c r="D72" s="29" t="n">
        <f aca="false">IF($A72="","",SUMIF(Március!$A$31:$A$116,$A72,Március!$B$31:$B$116))</f>
        <v>0</v>
      </c>
      <c r="E72" s="29" t="n">
        <f aca="false">IF($A72="","",SUMIF(Április!$A$31:$A$116,$A72,Április!$B$31:$B$116))</f>
        <v>0</v>
      </c>
      <c r="F72" s="29" t="n">
        <f aca="false">IF($A72="","",SUMIF(Május!$A$31:$A$116,$A72,Május!$B$31:$B$116))</f>
        <v>0</v>
      </c>
      <c r="G72" s="29" t="n">
        <f aca="false">IF($A72="","",SUMIF(Június!$A$31:$A$116,$A72,Június!$B$31:$B$116))</f>
        <v>0</v>
      </c>
      <c r="H72" s="29" t="n">
        <f aca="false">IF($A72="","",SUMIF(Július!$A$31:$A$116,$A72,Július!$B$31:$B$116))</f>
        <v>0</v>
      </c>
      <c r="I72" s="29" t="n">
        <f aca="false">IF($A72="","",SUMIF(Augusztus!$A$31:$A$116,$A72,Augusztus!$B$31:$B$116))</f>
        <v>0</v>
      </c>
      <c r="J72" s="29" t="n">
        <f aca="false">IF($A72="","",SUMIF(Szeptember!$A$31:$A$116,$A72,Szeptember!$B$31:$B$116))</f>
        <v>0</v>
      </c>
      <c r="K72" s="29" t="n">
        <f aca="false">IF($A72="","",SUMIF(Október!$A$31:$A$116,$A72,Október!$B$31:$B$116))</f>
        <v>0</v>
      </c>
      <c r="L72" s="29" t="n">
        <f aca="false">IF($A72="","",SUMIF(November!$A$31:$A$116,$A72,November!$B$31:$B$116))</f>
        <v>0</v>
      </c>
      <c r="M72" s="29" t="n">
        <f aca="false">IF($A72="","",SUMIF(December!$A$31:$A$116,$A72,December!$B$31:$B$116))</f>
        <v>0</v>
      </c>
      <c r="N72" s="15" t="n">
        <f aca="false">IF($A72="","",SUM(B72:M72))</f>
        <v>0</v>
      </c>
      <c r="O72" s="25" t="n">
        <f aca="false">IF($A72="","",N72/MAX(1,$Q$1))</f>
        <v>0</v>
      </c>
      <c r="P72" s="30" t="str">
        <f aca="false">IF(OR(N72="",$N$7=0),"",N72/$N$7)</f>
        <v/>
      </c>
    </row>
    <row r="73" customFormat="false" ht="15" hidden="false" customHeight="false" outlineLevel="0" collapsed="false">
      <c r="A73" s="28" t="str">
        <f aca="false">IFERROR(INDEX(_Segéd!$G$2:$G$793,MATCH(22,_Segéd!$H$2:$H$793,0)),"")</f>
        <v>Tömegközlekedés, bérlet</v>
      </c>
      <c r="B73" s="29" t="n">
        <f aca="false">IF($A73="","",SUMIF(Január!$A$31:$A$116,$A73,Január!$B$31:$B$116))</f>
        <v>0</v>
      </c>
      <c r="C73" s="29" t="n">
        <f aca="false">IF($A73="","",SUMIF(Február!$A$31:$A$116,$A73,Február!$B$31:$B$116))</f>
        <v>0</v>
      </c>
      <c r="D73" s="29" t="n">
        <f aca="false">IF($A73="","",SUMIF(Március!$A$31:$A$116,$A73,Március!$B$31:$B$116))</f>
        <v>0</v>
      </c>
      <c r="E73" s="29" t="n">
        <f aca="false">IF($A73="","",SUMIF(Április!$A$31:$A$116,$A73,Április!$B$31:$B$116))</f>
        <v>0</v>
      </c>
      <c r="F73" s="29" t="n">
        <f aca="false">IF($A73="","",SUMIF(Május!$A$31:$A$116,$A73,Május!$B$31:$B$116))</f>
        <v>0</v>
      </c>
      <c r="G73" s="29" t="n">
        <f aca="false">IF($A73="","",SUMIF(Június!$A$31:$A$116,$A73,Június!$B$31:$B$116))</f>
        <v>0</v>
      </c>
      <c r="H73" s="29" t="n">
        <f aca="false">IF($A73="","",SUMIF(Július!$A$31:$A$116,$A73,Július!$B$31:$B$116))</f>
        <v>0</v>
      </c>
      <c r="I73" s="29" t="n">
        <f aca="false">IF($A73="","",SUMIF(Augusztus!$A$31:$A$116,$A73,Augusztus!$B$31:$B$116))</f>
        <v>0</v>
      </c>
      <c r="J73" s="29" t="n">
        <f aca="false">IF($A73="","",SUMIF(Szeptember!$A$31:$A$116,$A73,Szeptember!$B$31:$B$116))</f>
        <v>0</v>
      </c>
      <c r="K73" s="29" t="n">
        <f aca="false">IF($A73="","",SUMIF(Október!$A$31:$A$116,$A73,Október!$B$31:$B$116))</f>
        <v>0</v>
      </c>
      <c r="L73" s="29" t="n">
        <f aca="false">IF($A73="","",SUMIF(November!$A$31:$A$116,$A73,November!$B$31:$B$116))</f>
        <v>0</v>
      </c>
      <c r="M73" s="29" t="n">
        <f aca="false">IF($A73="","",SUMIF(December!$A$31:$A$116,$A73,December!$B$31:$B$116))</f>
        <v>0</v>
      </c>
      <c r="N73" s="15" t="n">
        <f aca="false">IF($A73="","",SUM(B73:M73))</f>
        <v>0</v>
      </c>
      <c r="O73" s="25" t="n">
        <f aca="false">IF($A73="","",N73/MAX(1,$Q$1))</f>
        <v>0</v>
      </c>
      <c r="P73" s="30" t="str">
        <f aca="false">IF(OR(N73="",$N$7=0),"",N73/$N$7)</f>
        <v/>
      </c>
    </row>
    <row r="74" customFormat="false" ht="15" hidden="false" customHeight="false" outlineLevel="0" collapsed="false">
      <c r="A74" s="28" t="str">
        <f aca="false">IFERROR(INDEX(_Segéd!$G$2:$G$793,MATCH(23,_Segéd!$H$2:$H$793,0)),"")</f>
        <v>Taxi, roller, bicikli, közösségi közlekedés</v>
      </c>
      <c r="B74" s="29" t="n">
        <f aca="false">IF($A74="","",SUMIF(Január!$A$31:$A$116,$A74,Január!$B$31:$B$116))</f>
        <v>0</v>
      </c>
      <c r="C74" s="29" t="n">
        <f aca="false">IF($A74="","",SUMIF(Február!$A$31:$A$116,$A74,Február!$B$31:$B$116))</f>
        <v>0</v>
      </c>
      <c r="D74" s="29" t="n">
        <f aca="false">IF($A74="","",SUMIF(Március!$A$31:$A$116,$A74,Március!$B$31:$B$116))</f>
        <v>0</v>
      </c>
      <c r="E74" s="29" t="n">
        <f aca="false">IF($A74="","",SUMIF(Április!$A$31:$A$116,$A74,Április!$B$31:$B$116))</f>
        <v>0</v>
      </c>
      <c r="F74" s="29" t="n">
        <f aca="false">IF($A74="","",SUMIF(Május!$A$31:$A$116,$A74,Május!$B$31:$B$116))</f>
        <v>0</v>
      </c>
      <c r="G74" s="29" t="n">
        <f aca="false">IF($A74="","",SUMIF(Június!$A$31:$A$116,$A74,Június!$B$31:$B$116))</f>
        <v>0</v>
      </c>
      <c r="H74" s="29" t="n">
        <f aca="false">IF($A74="","",SUMIF(Július!$A$31:$A$116,$A74,Július!$B$31:$B$116))</f>
        <v>0</v>
      </c>
      <c r="I74" s="29" t="n">
        <f aca="false">IF($A74="","",SUMIF(Augusztus!$A$31:$A$116,$A74,Augusztus!$B$31:$B$116))</f>
        <v>0</v>
      </c>
      <c r="J74" s="29" t="n">
        <f aca="false">IF($A74="","",SUMIF(Szeptember!$A$31:$A$116,$A74,Szeptember!$B$31:$B$116))</f>
        <v>0</v>
      </c>
      <c r="K74" s="29" t="n">
        <f aca="false">IF($A74="","",SUMIF(Október!$A$31:$A$116,$A74,Október!$B$31:$B$116))</f>
        <v>0</v>
      </c>
      <c r="L74" s="29" t="n">
        <f aca="false">IF($A74="","",SUMIF(November!$A$31:$A$116,$A74,November!$B$31:$B$116))</f>
        <v>0</v>
      </c>
      <c r="M74" s="29" t="n">
        <f aca="false">IF($A74="","",SUMIF(December!$A$31:$A$116,$A74,December!$B$31:$B$116))</f>
        <v>0</v>
      </c>
      <c r="N74" s="15" t="n">
        <f aca="false">IF($A74="","",SUM(B74:M74))</f>
        <v>0</v>
      </c>
      <c r="O74" s="25" t="n">
        <f aca="false">IF($A74="","",N74/MAX(1,$Q$1))</f>
        <v>0</v>
      </c>
      <c r="P74" s="30" t="str">
        <f aca="false">IF(OR(N74="",$N$7=0),"",N74/$N$7)</f>
        <v/>
      </c>
    </row>
    <row r="75" customFormat="false" ht="15" hidden="false" customHeight="false" outlineLevel="0" collapsed="false">
      <c r="A75" s="28" t="str">
        <f aca="false">IFERROR(INDEX(_Segéd!$G$2:$G$793,MATCH(24,_Segéd!$H$2:$H$793,0)),"")</f>
        <v>Gyerek ruha, cipő</v>
      </c>
      <c r="B75" s="29" t="n">
        <f aca="false">IF($A75="","",SUMIF(Január!$A$31:$A$116,$A75,Január!$B$31:$B$116))</f>
        <v>0</v>
      </c>
      <c r="C75" s="29" t="n">
        <f aca="false">IF($A75="","",SUMIF(Február!$A$31:$A$116,$A75,Február!$B$31:$B$116))</f>
        <v>0</v>
      </c>
      <c r="D75" s="29" t="n">
        <f aca="false">IF($A75="","",SUMIF(Március!$A$31:$A$116,$A75,Március!$B$31:$B$116))</f>
        <v>0</v>
      </c>
      <c r="E75" s="29" t="n">
        <f aca="false">IF($A75="","",SUMIF(Április!$A$31:$A$116,$A75,Április!$B$31:$B$116))</f>
        <v>0</v>
      </c>
      <c r="F75" s="29" t="n">
        <f aca="false">IF($A75="","",SUMIF(Május!$A$31:$A$116,$A75,Május!$B$31:$B$116))</f>
        <v>0</v>
      </c>
      <c r="G75" s="29" t="n">
        <f aca="false">IF($A75="","",SUMIF(Június!$A$31:$A$116,$A75,Június!$B$31:$B$116))</f>
        <v>0</v>
      </c>
      <c r="H75" s="29" t="n">
        <f aca="false">IF($A75="","",SUMIF(Július!$A$31:$A$116,$A75,Július!$B$31:$B$116))</f>
        <v>0</v>
      </c>
      <c r="I75" s="29" t="n">
        <f aca="false">IF($A75="","",SUMIF(Augusztus!$A$31:$A$116,$A75,Augusztus!$B$31:$B$116))</f>
        <v>0</v>
      </c>
      <c r="J75" s="29" t="n">
        <f aca="false">IF($A75="","",SUMIF(Szeptember!$A$31:$A$116,$A75,Szeptember!$B$31:$B$116))</f>
        <v>0</v>
      </c>
      <c r="K75" s="29" t="n">
        <f aca="false">IF($A75="","",SUMIF(Október!$A$31:$A$116,$A75,Október!$B$31:$B$116))</f>
        <v>0</v>
      </c>
      <c r="L75" s="29" t="n">
        <f aca="false">IF($A75="","",SUMIF(November!$A$31:$A$116,$A75,November!$B$31:$B$116))</f>
        <v>0</v>
      </c>
      <c r="M75" s="29" t="n">
        <f aca="false">IF($A75="","",SUMIF(December!$A$31:$A$116,$A75,December!$B$31:$B$116))</f>
        <v>0</v>
      </c>
      <c r="N75" s="15" t="n">
        <f aca="false">IF($A75="","",SUM(B75:M75))</f>
        <v>0</v>
      </c>
      <c r="O75" s="25" t="n">
        <f aca="false">IF($A75="","",N75/MAX(1,$Q$1))</f>
        <v>0</v>
      </c>
      <c r="P75" s="30" t="str">
        <f aca="false">IF(OR(N75="",$N$7=0),"",N75/$N$7)</f>
        <v/>
      </c>
    </row>
    <row r="76" customFormat="false" ht="15" hidden="false" customHeight="false" outlineLevel="0" collapsed="false">
      <c r="A76" s="28" t="str">
        <f aca="false">IFERROR(INDEX(_Segéd!$G$2:$G$793,MATCH(25,_Segéd!$H$2:$H$793,0)),"")</f>
        <v>Gyerek étkeztetés (menza)</v>
      </c>
      <c r="B76" s="29" t="n">
        <f aca="false">IF($A76="","",SUMIF(Január!$A$31:$A$116,$A76,Január!$B$31:$B$116))</f>
        <v>0</v>
      </c>
      <c r="C76" s="29" t="n">
        <f aca="false">IF($A76="","",SUMIF(Február!$A$31:$A$116,$A76,Február!$B$31:$B$116))</f>
        <v>0</v>
      </c>
      <c r="D76" s="29" t="n">
        <f aca="false">IF($A76="","",SUMIF(Március!$A$31:$A$116,$A76,Március!$B$31:$B$116))</f>
        <v>0</v>
      </c>
      <c r="E76" s="29" t="n">
        <f aca="false">IF($A76="","",SUMIF(Április!$A$31:$A$116,$A76,Április!$B$31:$B$116))</f>
        <v>0</v>
      </c>
      <c r="F76" s="29" t="n">
        <f aca="false">IF($A76="","",SUMIF(Május!$A$31:$A$116,$A76,Május!$B$31:$B$116))</f>
        <v>0</v>
      </c>
      <c r="G76" s="29" t="n">
        <f aca="false">IF($A76="","",SUMIF(Június!$A$31:$A$116,$A76,Június!$B$31:$B$116))</f>
        <v>0</v>
      </c>
      <c r="H76" s="29" t="n">
        <f aca="false">IF($A76="","",SUMIF(Július!$A$31:$A$116,$A76,Július!$B$31:$B$116))</f>
        <v>0</v>
      </c>
      <c r="I76" s="29" t="n">
        <f aca="false">IF($A76="","",SUMIF(Augusztus!$A$31:$A$116,$A76,Augusztus!$B$31:$B$116))</f>
        <v>0</v>
      </c>
      <c r="J76" s="29" t="n">
        <f aca="false">IF($A76="","",SUMIF(Szeptember!$A$31:$A$116,$A76,Szeptember!$B$31:$B$116))</f>
        <v>0</v>
      </c>
      <c r="K76" s="29" t="n">
        <f aca="false">IF($A76="","",SUMIF(Október!$A$31:$A$116,$A76,Október!$B$31:$B$116))</f>
        <v>0</v>
      </c>
      <c r="L76" s="29" t="n">
        <f aca="false">IF($A76="","",SUMIF(November!$A$31:$A$116,$A76,November!$B$31:$B$116))</f>
        <v>0</v>
      </c>
      <c r="M76" s="29" t="n">
        <f aca="false">IF($A76="","",SUMIF(December!$A$31:$A$116,$A76,December!$B$31:$B$116))</f>
        <v>0</v>
      </c>
      <c r="N76" s="15" t="n">
        <f aca="false">IF($A76="","",SUM(B76:M76))</f>
        <v>0</v>
      </c>
      <c r="O76" s="25" t="n">
        <f aca="false">IF($A76="","",N76/MAX(1,$Q$1))</f>
        <v>0</v>
      </c>
      <c r="P76" s="30" t="str">
        <f aca="false">IF(OR(N76="",$N$7=0),"",N76/$N$7)</f>
        <v/>
      </c>
    </row>
    <row r="77" customFormat="false" ht="15" hidden="false" customHeight="false" outlineLevel="0" collapsed="false">
      <c r="A77" s="28" t="str">
        <f aca="false">IFERROR(INDEX(_Segéd!$G$2:$G$793,MATCH(26,_Segéd!$H$2:$H$793,0)),"")</f>
        <v>Bölcsőde, óvoda, iskola díjai</v>
      </c>
      <c r="B77" s="29" t="n">
        <f aca="false">IF($A77="","",SUMIF(Január!$A$31:$A$116,$A77,Január!$B$31:$B$116))</f>
        <v>0</v>
      </c>
      <c r="C77" s="29" t="n">
        <f aca="false">IF($A77="","",SUMIF(Február!$A$31:$A$116,$A77,Február!$B$31:$B$116))</f>
        <v>0</v>
      </c>
      <c r="D77" s="29" t="n">
        <f aca="false">IF($A77="","",SUMIF(Március!$A$31:$A$116,$A77,Március!$B$31:$B$116))</f>
        <v>0</v>
      </c>
      <c r="E77" s="29" t="n">
        <f aca="false">IF($A77="","",SUMIF(Április!$A$31:$A$116,$A77,Április!$B$31:$B$116))</f>
        <v>0</v>
      </c>
      <c r="F77" s="29" t="n">
        <f aca="false">IF($A77="","",SUMIF(Május!$A$31:$A$116,$A77,Május!$B$31:$B$116))</f>
        <v>0</v>
      </c>
      <c r="G77" s="29" t="n">
        <f aca="false">IF($A77="","",SUMIF(Június!$A$31:$A$116,$A77,Június!$B$31:$B$116))</f>
        <v>0</v>
      </c>
      <c r="H77" s="29" t="n">
        <f aca="false">IF($A77="","",SUMIF(Július!$A$31:$A$116,$A77,Július!$B$31:$B$116))</f>
        <v>0</v>
      </c>
      <c r="I77" s="29" t="n">
        <f aca="false">IF($A77="","",SUMIF(Augusztus!$A$31:$A$116,$A77,Augusztus!$B$31:$B$116))</f>
        <v>0</v>
      </c>
      <c r="J77" s="29" t="n">
        <f aca="false">IF($A77="","",SUMIF(Szeptember!$A$31:$A$116,$A77,Szeptember!$B$31:$B$116))</f>
        <v>0</v>
      </c>
      <c r="K77" s="29" t="n">
        <f aca="false">IF($A77="","",SUMIF(Október!$A$31:$A$116,$A77,Október!$B$31:$B$116))</f>
        <v>0</v>
      </c>
      <c r="L77" s="29" t="n">
        <f aca="false">IF($A77="","",SUMIF(November!$A$31:$A$116,$A77,November!$B$31:$B$116))</f>
        <v>0</v>
      </c>
      <c r="M77" s="29" t="n">
        <f aca="false">IF($A77="","",SUMIF(December!$A$31:$A$116,$A77,December!$B$31:$B$116))</f>
        <v>0</v>
      </c>
      <c r="N77" s="15" t="n">
        <f aca="false">IF($A77="","",SUM(B77:M77))</f>
        <v>0</v>
      </c>
      <c r="O77" s="25" t="n">
        <f aca="false">IF($A77="","",N77/MAX(1,$Q$1))</f>
        <v>0</v>
      </c>
      <c r="P77" s="30" t="str">
        <f aca="false">IF(OR(N77="",$N$7=0),"",N77/$N$7)</f>
        <v/>
      </c>
    </row>
    <row r="78" customFormat="false" ht="15" hidden="false" customHeight="false" outlineLevel="0" collapsed="false">
      <c r="A78" s="28" t="str">
        <f aca="false">IFERROR(INDEX(_Segéd!$G$2:$G$793,MATCH(27,_Segéd!$H$2:$H$793,0)),"")</f>
        <v>Tankönyv, tanszer</v>
      </c>
      <c r="B78" s="29" t="n">
        <f aca="false">IF($A78="","",SUMIF(Január!$A$31:$A$116,$A78,Január!$B$31:$B$116))</f>
        <v>0</v>
      </c>
      <c r="C78" s="29" t="n">
        <f aca="false">IF($A78="","",SUMIF(Február!$A$31:$A$116,$A78,Február!$B$31:$B$116))</f>
        <v>0</v>
      </c>
      <c r="D78" s="29" t="n">
        <f aca="false">IF($A78="","",SUMIF(Március!$A$31:$A$116,$A78,Március!$B$31:$B$116))</f>
        <v>0</v>
      </c>
      <c r="E78" s="29" t="n">
        <f aca="false">IF($A78="","",SUMIF(Április!$A$31:$A$116,$A78,Április!$B$31:$B$116))</f>
        <v>0</v>
      </c>
      <c r="F78" s="29" t="n">
        <f aca="false">IF($A78="","",SUMIF(Május!$A$31:$A$116,$A78,Május!$B$31:$B$116))</f>
        <v>0</v>
      </c>
      <c r="G78" s="29" t="n">
        <f aca="false">IF($A78="","",SUMIF(Június!$A$31:$A$116,$A78,Június!$B$31:$B$116))</f>
        <v>0</v>
      </c>
      <c r="H78" s="29" t="n">
        <f aca="false">IF($A78="","",SUMIF(Július!$A$31:$A$116,$A78,Július!$B$31:$B$116))</f>
        <v>0</v>
      </c>
      <c r="I78" s="29" t="n">
        <f aca="false">IF($A78="","",SUMIF(Augusztus!$A$31:$A$116,$A78,Augusztus!$B$31:$B$116))</f>
        <v>0</v>
      </c>
      <c r="J78" s="29" t="n">
        <f aca="false">IF($A78="","",SUMIF(Szeptember!$A$31:$A$116,$A78,Szeptember!$B$31:$B$116))</f>
        <v>0</v>
      </c>
      <c r="K78" s="29" t="n">
        <f aca="false">IF($A78="","",SUMIF(Október!$A$31:$A$116,$A78,Október!$B$31:$B$116))</f>
        <v>0</v>
      </c>
      <c r="L78" s="29" t="n">
        <f aca="false">IF($A78="","",SUMIF(November!$A$31:$A$116,$A78,November!$B$31:$B$116))</f>
        <v>0</v>
      </c>
      <c r="M78" s="29" t="n">
        <f aca="false">IF($A78="","",SUMIF(December!$A$31:$A$116,$A78,December!$B$31:$B$116))</f>
        <v>0</v>
      </c>
      <c r="N78" s="15" t="n">
        <f aca="false">IF($A78="","",SUM(B78:M78))</f>
        <v>0</v>
      </c>
      <c r="O78" s="25" t="n">
        <f aca="false">IF($A78="","",N78/MAX(1,$Q$1))</f>
        <v>0</v>
      </c>
      <c r="P78" s="30" t="str">
        <f aca="false">IF(OR(N78="",$N$7=0),"",N78/$N$7)</f>
        <v/>
      </c>
    </row>
    <row r="79" customFormat="false" ht="15" hidden="false" customHeight="false" outlineLevel="0" collapsed="false">
      <c r="A79" s="28" t="str">
        <f aca="false">IFERROR(INDEX(_Segéd!$G$2:$G$793,MATCH(28,_Segéd!$H$2:$H$793,0)),"")</f>
        <v>Különórák, edzések</v>
      </c>
      <c r="B79" s="29" t="n">
        <f aca="false">IF($A79="","",SUMIF(Január!$A$31:$A$116,$A79,Január!$B$31:$B$116))</f>
        <v>0</v>
      </c>
      <c r="C79" s="29" t="n">
        <f aca="false">IF($A79="","",SUMIF(Február!$A$31:$A$116,$A79,Február!$B$31:$B$116))</f>
        <v>0</v>
      </c>
      <c r="D79" s="29" t="n">
        <f aca="false">IF($A79="","",SUMIF(Március!$A$31:$A$116,$A79,Március!$B$31:$B$116))</f>
        <v>0</v>
      </c>
      <c r="E79" s="29" t="n">
        <f aca="false">IF($A79="","",SUMIF(Április!$A$31:$A$116,$A79,Április!$B$31:$B$116))</f>
        <v>0</v>
      </c>
      <c r="F79" s="29" t="n">
        <f aca="false">IF($A79="","",SUMIF(Május!$A$31:$A$116,$A79,Május!$B$31:$B$116))</f>
        <v>0</v>
      </c>
      <c r="G79" s="29" t="n">
        <f aca="false">IF($A79="","",SUMIF(Június!$A$31:$A$116,$A79,Június!$B$31:$B$116))</f>
        <v>0</v>
      </c>
      <c r="H79" s="29" t="n">
        <f aca="false">IF($A79="","",SUMIF(Július!$A$31:$A$116,$A79,Július!$B$31:$B$116))</f>
        <v>0</v>
      </c>
      <c r="I79" s="29" t="n">
        <f aca="false">IF($A79="","",SUMIF(Augusztus!$A$31:$A$116,$A79,Augusztus!$B$31:$B$116))</f>
        <v>0</v>
      </c>
      <c r="J79" s="29" t="n">
        <f aca="false">IF($A79="","",SUMIF(Szeptember!$A$31:$A$116,$A79,Szeptember!$B$31:$B$116))</f>
        <v>0</v>
      </c>
      <c r="K79" s="29" t="n">
        <f aca="false">IF($A79="","",SUMIF(Október!$A$31:$A$116,$A79,Október!$B$31:$B$116))</f>
        <v>0</v>
      </c>
      <c r="L79" s="29" t="n">
        <f aca="false">IF($A79="","",SUMIF(November!$A$31:$A$116,$A79,November!$B$31:$B$116))</f>
        <v>0</v>
      </c>
      <c r="M79" s="29" t="n">
        <f aca="false">IF($A79="","",SUMIF(December!$A$31:$A$116,$A79,December!$B$31:$B$116))</f>
        <v>0</v>
      </c>
      <c r="N79" s="15" t="n">
        <f aca="false">IF($A79="","",SUM(B79:M79))</f>
        <v>0</v>
      </c>
      <c r="O79" s="25" t="n">
        <f aca="false">IF($A79="","",N79/MAX(1,$Q$1))</f>
        <v>0</v>
      </c>
      <c r="P79" s="30" t="str">
        <f aca="false">IF(OR(N79="",$N$7=0),"",N79/$N$7)</f>
        <v/>
      </c>
    </row>
    <row r="80" customFormat="false" ht="15" hidden="false" customHeight="false" outlineLevel="0" collapsed="false">
      <c r="A80" s="28" t="str">
        <f aca="false">IFERROR(INDEX(_Segéd!$G$2:$G$793,MATCH(29,_Segéd!$H$2:$H$793,0)),"")</f>
        <v>Magánóra, korrepetálás</v>
      </c>
      <c r="B80" s="29" t="n">
        <f aca="false">IF($A80="","",SUMIF(Január!$A$31:$A$116,$A80,Január!$B$31:$B$116))</f>
        <v>0</v>
      </c>
      <c r="C80" s="29" t="n">
        <f aca="false">IF($A80="","",SUMIF(Február!$A$31:$A$116,$A80,Február!$B$31:$B$116))</f>
        <v>0</v>
      </c>
      <c r="D80" s="29" t="n">
        <f aca="false">IF($A80="","",SUMIF(Március!$A$31:$A$116,$A80,Március!$B$31:$B$116))</f>
        <v>0</v>
      </c>
      <c r="E80" s="29" t="n">
        <f aca="false">IF($A80="","",SUMIF(Április!$A$31:$A$116,$A80,Április!$B$31:$B$116))</f>
        <v>0</v>
      </c>
      <c r="F80" s="29" t="n">
        <f aca="false">IF($A80="","",SUMIF(Május!$A$31:$A$116,$A80,Május!$B$31:$B$116))</f>
        <v>0</v>
      </c>
      <c r="G80" s="29" t="n">
        <f aca="false">IF($A80="","",SUMIF(Június!$A$31:$A$116,$A80,Június!$B$31:$B$116))</f>
        <v>0</v>
      </c>
      <c r="H80" s="29" t="n">
        <f aca="false">IF($A80="","",SUMIF(Július!$A$31:$A$116,$A80,Július!$B$31:$B$116))</f>
        <v>0</v>
      </c>
      <c r="I80" s="29" t="n">
        <f aca="false">IF($A80="","",SUMIF(Augusztus!$A$31:$A$116,$A80,Augusztus!$B$31:$B$116))</f>
        <v>0</v>
      </c>
      <c r="J80" s="29" t="n">
        <f aca="false">IF($A80="","",SUMIF(Szeptember!$A$31:$A$116,$A80,Szeptember!$B$31:$B$116))</f>
        <v>0</v>
      </c>
      <c r="K80" s="29" t="n">
        <f aca="false">IF($A80="","",SUMIF(Október!$A$31:$A$116,$A80,Október!$B$31:$B$116))</f>
        <v>0</v>
      </c>
      <c r="L80" s="29" t="n">
        <f aca="false">IF($A80="","",SUMIF(November!$A$31:$A$116,$A80,November!$B$31:$B$116))</f>
        <v>0</v>
      </c>
      <c r="M80" s="29" t="n">
        <f aca="false">IF($A80="","",SUMIF(December!$A$31:$A$116,$A80,December!$B$31:$B$116))</f>
        <v>0</v>
      </c>
      <c r="N80" s="15" t="n">
        <f aca="false">IF($A80="","",SUM(B80:M80))</f>
        <v>0</v>
      </c>
      <c r="O80" s="25" t="n">
        <f aca="false">IF($A80="","",N80/MAX(1,$Q$1))</f>
        <v>0</v>
      </c>
      <c r="P80" s="30" t="str">
        <f aca="false">IF(OR(N80="",$N$7=0),"",N80/$N$7)</f>
        <v/>
      </c>
    </row>
    <row r="81" customFormat="false" ht="15" hidden="false" customHeight="false" outlineLevel="0" collapsed="false">
      <c r="A81" s="28" t="str">
        <f aca="false">IFERROR(INDEX(_Segéd!$G$2:$G$793,MATCH(30,_Segéd!$H$2:$H$793,0)),"")</f>
        <v>Zsebpénz</v>
      </c>
      <c r="B81" s="29" t="n">
        <f aca="false">IF($A81="","",SUMIF(Január!$A$31:$A$116,$A81,Január!$B$31:$B$116))</f>
        <v>0</v>
      </c>
      <c r="C81" s="29" t="n">
        <f aca="false">IF($A81="","",SUMIF(Február!$A$31:$A$116,$A81,Február!$B$31:$B$116))</f>
        <v>0</v>
      </c>
      <c r="D81" s="29" t="n">
        <f aca="false">IF($A81="","",SUMIF(Március!$A$31:$A$116,$A81,Március!$B$31:$B$116))</f>
        <v>0</v>
      </c>
      <c r="E81" s="29" t="n">
        <f aca="false">IF($A81="","",SUMIF(Április!$A$31:$A$116,$A81,Április!$B$31:$B$116))</f>
        <v>0</v>
      </c>
      <c r="F81" s="29" t="n">
        <f aca="false">IF($A81="","",SUMIF(Május!$A$31:$A$116,$A81,Május!$B$31:$B$116))</f>
        <v>0</v>
      </c>
      <c r="G81" s="29" t="n">
        <f aca="false">IF($A81="","",SUMIF(Június!$A$31:$A$116,$A81,Június!$B$31:$B$116))</f>
        <v>0</v>
      </c>
      <c r="H81" s="29" t="n">
        <f aca="false">IF($A81="","",SUMIF(Július!$A$31:$A$116,$A81,Július!$B$31:$B$116))</f>
        <v>0</v>
      </c>
      <c r="I81" s="29" t="n">
        <f aca="false">IF($A81="","",SUMIF(Augusztus!$A$31:$A$116,$A81,Augusztus!$B$31:$B$116))</f>
        <v>0</v>
      </c>
      <c r="J81" s="29" t="n">
        <f aca="false">IF($A81="","",SUMIF(Szeptember!$A$31:$A$116,$A81,Szeptember!$B$31:$B$116))</f>
        <v>0</v>
      </c>
      <c r="K81" s="29" t="n">
        <f aca="false">IF($A81="","",SUMIF(Október!$A$31:$A$116,$A81,Október!$B$31:$B$116))</f>
        <v>0</v>
      </c>
      <c r="L81" s="29" t="n">
        <f aca="false">IF($A81="","",SUMIF(November!$A$31:$A$116,$A81,November!$B$31:$B$116))</f>
        <v>0</v>
      </c>
      <c r="M81" s="29" t="n">
        <f aca="false">IF($A81="","",SUMIF(December!$A$31:$A$116,$A81,December!$B$31:$B$116))</f>
        <v>0</v>
      </c>
      <c r="N81" s="15" t="n">
        <f aca="false">IF($A81="","",SUM(B81:M81))</f>
        <v>0</v>
      </c>
      <c r="O81" s="25" t="n">
        <f aca="false">IF($A81="","",N81/MAX(1,$Q$1))</f>
        <v>0</v>
      </c>
      <c r="P81" s="30" t="str">
        <f aca="false">IF(OR(N81="",$N$7=0),"",N81/$N$7)</f>
        <v/>
      </c>
    </row>
    <row r="82" customFormat="false" ht="15" hidden="false" customHeight="false" outlineLevel="0" collapsed="false">
      <c r="A82" s="28" t="str">
        <f aca="false">IFERROR(INDEX(_Segéd!$G$2:$G$793,MATCH(31,_Segéd!$H$2:$H$793,0)),"")</f>
        <v>Játékok, szórakozás</v>
      </c>
      <c r="B82" s="29" t="n">
        <f aca="false">IF($A82="","",SUMIF(Január!$A$31:$A$116,$A82,Január!$B$31:$B$116))</f>
        <v>0</v>
      </c>
      <c r="C82" s="29" t="n">
        <f aca="false">IF($A82="","",SUMIF(Február!$A$31:$A$116,$A82,Február!$B$31:$B$116))</f>
        <v>0</v>
      </c>
      <c r="D82" s="29" t="n">
        <f aca="false">IF($A82="","",SUMIF(Március!$A$31:$A$116,$A82,Március!$B$31:$B$116))</f>
        <v>0</v>
      </c>
      <c r="E82" s="29" t="n">
        <f aca="false">IF($A82="","",SUMIF(Április!$A$31:$A$116,$A82,Április!$B$31:$B$116))</f>
        <v>0</v>
      </c>
      <c r="F82" s="29" t="n">
        <f aca="false">IF($A82="","",SUMIF(Május!$A$31:$A$116,$A82,Május!$B$31:$B$116))</f>
        <v>0</v>
      </c>
      <c r="G82" s="29" t="n">
        <f aca="false">IF($A82="","",SUMIF(Június!$A$31:$A$116,$A82,Június!$B$31:$B$116))</f>
        <v>0</v>
      </c>
      <c r="H82" s="29" t="n">
        <f aca="false">IF($A82="","",SUMIF(Július!$A$31:$A$116,$A82,Július!$B$31:$B$116))</f>
        <v>0</v>
      </c>
      <c r="I82" s="29" t="n">
        <f aca="false">IF($A82="","",SUMIF(Augusztus!$A$31:$A$116,$A82,Augusztus!$B$31:$B$116))</f>
        <v>0</v>
      </c>
      <c r="J82" s="29" t="n">
        <f aca="false">IF($A82="","",SUMIF(Szeptember!$A$31:$A$116,$A82,Szeptember!$B$31:$B$116))</f>
        <v>0</v>
      </c>
      <c r="K82" s="29" t="n">
        <f aca="false">IF($A82="","",SUMIF(Október!$A$31:$A$116,$A82,Október!$B$31:$B$116))</f>
        <v>0</v>
      </c>
      <c r="L82" s="29" t="n">
        <f aca="false">IF($A82="","",SUMIF(November!$A$31:$A$116,$A82,November!$B$31:$B$116))</f>
        <v>0</v>
      </c>
      <c r="M82" s="29" t="n">
        <f aca="false">IF($A82="","",SUMIF(December!$A$31:$A$116,$A82,December!$B$31:$B$116))</f>
        <v>0</v>
      </c>
      <c r="N82" s="15" t="n">
        <f aca="false">IF($A82="","",SUM(B82:M82))</f>
        <v>0</v>
      </c>
      <c r="O82" s="25" t="n">
        <f aca="false">IF($A82="","",N82/MAX(1,$Q$1))</f>
        <v>0</v>
      </c>
      <c r="P82" s="30" t="str">
        <f aca="false">IF(OR(N82="",$N$7=0),"",N82/$N$7)</f>
        <v/>
      </c>
    </row>
    <row r="83" customFormat="false" ht="15" hidden="false" customHeight="false" outlineLevel="0" collapsed="false">
      <c r="A83" s="28" t="str">
        <f aca="false">IFERROR(INDEX(_Segéd!$G$2:$G$793,MATCH(32,_Segéd!$H$2:$H$793,0)),"")</f>
        <v>Ruha</v>
      </c>
      <c r="B83" s="29" t="n">
        <f aca="false">IF($A83="","",SUMIF(Január!$A$31:$A$116,$A83,Január!$B$31:$B$116))</f>
        <v>0</v>
      </c>
      <c r="C83" s="29" t="n">
        <f aca="false">IF($A83="","",SUMIF(Február!$A$31:$A$116,$A83,Február!$B$31:$B$116))</f>
        <v>0</v>
      </c>
      <c r="D83" s="29" t="n">
        <f aca="false">IF($A83="","",SUMIF(Március!$A$31:$A$116,$A83,Március!$B$31:$B$116))</f>
        <v>0</v>
      </c>
      <c r="E83" s="29" t="n">
        <f aca="false">IF($A83="","",SUMIF(Április!$A$31:$A$116,$A83,Április!$B$31:$B$116))</f>
        <v>0</v>
      </c>
      <c r="F83" s="29" t="n">
        <f aca="false">IF($A83="","",SUMIF(Május!$A$31:$A$116,$A83,Május!$B$31:$B$116))</f>
        <v>0</v>
      </c>
      <c r="G83" s="29" t="n">
        <f aca="false">IF($A83="","",SUMIF(Június!$A$31:$A$116,$A83,Június!$B$31:$B$116))</f>
        <v>0</v>
      </c>
      <c r="H83" s="29" t="n">
        <f aca="false">IF($A83="","",SUMIF(Július!$A$31:$A$116,$A83,Július!$B$31:$B$116))</f>
        <v>0</v>
      </c>
      <c r="I83" s="29" t="n">
        <f aca="false">IF($A83="","",SUMIF(Augusztus!$A$31:$A$116,$A83,Augusztus!$B$31:$B$116))</f>
        <v>0</v>
      </c>
      <c r="J83" s="29" t="n">
        <f aca="false">IF($A83="","",SUMIF(Szeptember!$A$31:$A$116,$A83,Szeptember!$B$31:$B$116))</f>
        <v>0</v>
      </c>
      <c r="K83" s="29" t="n">
        <f aca="false">IF($A83="","",SUMIF(Október!$A$31:$A$116,$A83,Október!$B$31:$B$116))</f>
        <v>0</v>
      </c>
      <c r="L83" s="29" t="n">
        <f aca="false">IF($A83="","",SUMIF(November!$A$31:$A$116,$A83,November!$B$31:$B$116))</f>
        <v>0</v>
      </c>
      <c r="M83" s="29" t="n">
        <f aca="false">IF($A83="","",SUMIF(December!$A$31:$A$116,$A83,December!$B$31:$B$116))</f>
        <v>0</v>
      </c>
      <c r="N83" s="15" t="n">
        <f aca="false">IF($A83="","",SUM(B83:M83))</f>
        <v>0</v>
      </c>
      <c r="O83" s="25" t="n">
        <f aca="false">IF($A83="","",N83/MAX(1,$Q$1))</f>
        <v>0</v>
      </c>
      <c r="P83" s="30" t="str">
        <f aca="false">IF(OR(N83="",$N$7=0),"",N83/$N$7)</f>
        <v/>
      </c>
    </row>
    <row r="84" customFormat="false" ht="15" hidden="false" customHeight="false" outlineLevel="0" collapsed="false">
      <c r="A84" s="28" t="str">
        <f aca="false">IFERROR(INDEX(_Segéd!$G$2:$G$793,MATCH(33,_Segéd!$H$2:$H$793,0)),"")</f>
        <v>Cipő</v>
      </c>
      <c r="B84" s="29" t="n">
        <f aca="false">IF($A84="","",SUMIF(Január!$A$31:$A$116,$A84,Január!$B$31:$B$116))</f>
        <v>0</v>
      </c>
      <c r="C84" s="29" t="n">
        <f aca="false">IF($A84="","",SUMIF(Február!$A$31:$A$116,$A84,Február!$B$31:$B$116))</f>
        <v>0</v>
      </c>
      <c r="D84" s="29" t="n">
        <f aca="false">IF($A84="","",SUMIF(Március!$A$31:$A$116,$A84,Március!$B$31:$B$116))</f>
        <v>0</v>
      </c>
      <c r="E84" s="29" t="n">
        <f aca="false">IF($A84="","",SUMIF(Április!$A$31:$A$116,$A84,Április!$B$31:$B$116))</f>
        <v>0</v>
      </c>
      <c r="F84" s="29" t="n">
        <f aca="false">IF($A84="","",SUMIF(Május!$A$31:$A$116,$A84,Május!$B$31:$B$116))</f>
        <v>0</v>
      </c>
      <c r="G84" s="29" t="n">
        <f aca="false">IF($A84="","",SUMIF(Június!$A$31:$A$116,$A84,Június!$B$31:$B$116))</f>
        <v>0</v>
      </c>
      <c r="H84" s="29" t="n">
        <f aca="false">IF($A84="","",SUMIF(Július!$A$31:$A$116,$A84,Július!$B$31:$B$116))</f>
        <v>0</v>
      </c>
      <c r="I84" s="29" t="n">
        <f aca="false">IF($A84="","",SUMIF(Augusztus!$A$31:$A$116,$A84,Augusztus!$B$31:$B$116))</f>
        <v>0</v>
      </c>
      <c r="J84" s="29" t="n">
        <f aca="false">IF($A84="","",SUMIF(Szeptember!$A$31:$A$116,$A84,Szeptember!$B$31:$B$116))</f>
        <v>0</v>
      </c>
      <c r="K84" s="29" t="n">
        <f aca="false">IF($A84="","",SUMIF(Október!$A$31:$A$116,$A84,Október!$B$31:$B$116))</f>
        <v>0</v>
      </c>
      <c r="L84" s="29" t="n">
        <f aca="false">IF($A84="","",SUMIF(November!$A$31:$A$116,$A84,November!$B$31:$B$116))</f>
        <v>0</v>
      </c>
      <c r="M84" s="29" t="n">
        <f aca="false">IF($A84="","",SUMIF(December!$A$31:$A$116,$A84,December!$B$31:$B$116))</f>
        <v>0</v>
      </c>
      <c r="N84" s="15" t="n">
        <f aca="false">IF($A84="","",SUM(B84:M84))</f>
        <v>0</v>
      </c>
      <c r="O84" s="25" t="n">
        <f aca="false">IF($A84="","",N84/MAX(1,$Q$1))</f>
        <v>0</v>
      </c>
      <c r="P84" s="30" t="str">
        <f aca="false">IF(OR(N84="",$N$7=0),"",N84/$N$7)</f>
        <v/>
      </c>
    </row>
    <row r="85" customFormat="false" ht="15" hidden="false" customHeight="false" outlineLevel="0" collapsed="false">
      <c r="A85" s="28" t="str">
        <f aca="false">IFERROR(INDEX(_Segéd!$G$2:$G$793,MATCH(34,_Segéd!$H$2:$H$793,0)),"")</f>
        <v>Kiegészítők (táska, ékszer, óra)</v>
      </c>
      <c r="B85" s="29" t="n">
        <f aca="false">IF($A85="","",SUMIF(Január!$A$31:$A$116,$A85,Január!$B$31:$B$116))</f>
        <v>0</v>
      </c>
      <c r="C85" s="29" t="n">
        <f aca="false">IF($A85="","",SUMIF(Február!$A$31:$A$116,$A85,Február!$B$31:$B$116))</f>
        <v>0</v>
      </c>
      <c r="D85" s="29" t="n">
        <f aca="false">IF($A85="","",SUMIF(Március!$A$31:$A$116,$A85,Március!$B$31:$B$116))</f>
        <v>0</v>
      </c>
      <c r="E85" s="29" t="n">
        <f aca="false">IF($A85="","",SUMIF(Április!$A$31:$A$116,$A85,Április!$B$31:$B$116))</f>
        <v>0</v>
      </c>
      <c r="F85" s="29" t="n">
        <f aca="false">IF($A85="","",SUMIF(Május!$A$31:$A$116,$A85,Május!$B$31:$B$116))</f>
        <v>0</v>
      </c>
      <c r="G85" s="29" t="n">
        <f aca="false">IF($A85="","",SUMIF(Június!$A$31:$A$116,$A85,Június!$B$31:$B$116))</f>
        <v>0</v>
      </c>
      <c r="H85" s="29" t="n">
        <f aca="false">IF($A85="","",SUMIF(Július!$A$31:$A$116,$A85,Július!$B$31:$B$116))</f>
        <v>0</v>
      </c>
      <c r="I85" s="29" t="n">
        <f aca="false">IF($A85="","",SUMIF(Augusztus!$A$31:$A$116,$A85,Augusztus!$B$31:$B$116))</f>
        <v>0</v>
      </c>
      <c r="J85" s="29" t="n">
        <f aca="false">IF($A85="","",SUMIF(Szeptember!$A$31:$A$116,$A85,Szeptember!$B$31:$B$116))</f>
        <v>0</v>
      </c>
      <c r="K85" s="29" t="n">
        <f aca="false">IF($A85="","",SUMIF(Október!$A$31:$A$116,$A85,Október!$B$31:$B$116))</f>
        <v>0</v>
      </c>
      <c r="L85" s="29" t="n">
        <f aca="false">IF($A85="","",SUMIF(November!$A$31:$A$116,$A85,November!$B$31:$B$116))</f>
        <v>0</v>
      </c>
      <c r="M85" s="29" t="n">
        <f aca="false">IF($A85="","",SUMIF(December!$A$31:$A$116,$A85,December!$B$31:$B$116))</f>
        <v>0</v>
      </c>
      <c r="N85" s="15" t="n">
        <f aca="false">IF($A85="","",SUM(B85:M85))</f>
        <v>0</v>
      </c>
      <c r="O85" s="25" t="n">
        <f aca="false">IF($A85="","",N85/MAX(1,$Q$1))</f>
        <v>0</v>
      </c>
      <c r="P85" s="30" t="str">
        <f aca="false">IF(OR(N85="",$N$7=0),"",N85/$N$7)</f>
        <v/>
      </c>
    </row>
    <row r="86" customFormat="false" ht="15" hidden="false" customHeight="false" outlineLevel="0" collapsed="false">
      <c r="A86" s="28" t="str">
        <f aca="false">IFERROR(INDEX(_Segéd!$G$2:$G$793,MATCH(35,_Segéd!$H$2:$H$793,0)),"")</f>
        <v>Fodrász, borbély</v>
      </c>
      <c r="B86" s="29" t="n">
        <f aca="false">IF($A86="","",SUMIF(Január!$A$31:$A$116,$A86,Január!$B$31:$B$116))</f>
        <v>0</v>
      </c>
      <c r="C86" s="29" t="n">
        <f aca="false">IF($A86="","",SUMIF(Február!$A$31:$A$116,$A86,Február!$B$31:$B$116))</f>
        <v>0</v>
      </c>
      <c r="D86" s="29" t="n">
        <f aca="false">IF($A86="","",SUMIF(Március!$A$31:$A$116,$A86,Március!$B$31:$B$116))</f>
        <v>0</v>
      </c>
      <c r="E86" s="29" t="n">
        <f aca="false">IF($A86="","",SUMIF(Április!$A$31:$A$116,$A86,Április!$B$31:$B$116))</f>
        <v>0</v>
      </c>
      <c r="F86" s="29" t="n">
        <f aca="false">IF($A86="","",SUMIF(Május!$A$31:$A$116,$A86,Május!$B$31:$B$116))</f>
        <v>0</v>
      </c>
      <c r="G86" s="29" t="n">
        <f aca="false">IF($A86="","",SUMIF(Június!$A$31:$A$116,$A86,Június!$B$31:$B$116))</f>
        <v>0</v>
      </c>
      <c r="H86" s="29" t="n">
        <f aca="false">IF($A86="","",SUMIF(Július!$A$31:$A$116,$A86,Július!$B$31:$B$116))</f>
        <v>0</v>
      </c>
      <c r="I86" s="29" t="n">
        <f aca="false">IF($A86="","",SUMIF(Augusztus!$A$31:$A$116,$A86,Augusztus!$B$31:$B$116))</f>
        <v>0</v>
      </c>
      <c r="J86" s="29" t="n">
        <f aca="false">IF($A86="","",SUMIF(Szeptember!$A$31:$A$116,$A86,Szeptember!$B$31:$B$116))</f>
        <v>0</v>
      </c>
      <c r="K86" s="29" t="n">
        <f aca="false">IF($A86="","",SUMIF(Október!$A$31:$A$116,$A86,Október!$B$31:$B$116))</f>
        <v>0</v>
      </c>
      <c r="L86" s="29" t="n">
        <f aca="false">IF($A86="","",SUMIF(November!$A$31:$A$116,$A86,November!$B$31:$B$116))</f>
        <v>0</v>
      </c>
      <c r="M86" s="29" t="n">
        <f aca="false">IF($A86="","",SUMIF(December!$A$31:$A$116,$A86,December!$B$31:$B$116))</f>
        <v>0</v>
      </c>
      <c r="N86" s="15" t="n">
        <f aca="false">IF($A86="","",SUM(B86:M86))</f>
        <v>0</v>
      </c>
      <c r="O86" s="25" t="n">
        <f aca="false">IF($A86="","",N86/MAX(1,$Q$1))</f>
        <v>0</v>
      </c>
      <c r="P86" s="30" t="str">
        <f aca="false">IF(OR(N86="",$N$7=0),"",N86/$N$7)</f>
        <v/>
      </c>
    </row>
    <row r="87" customFormat="false" ht="15" hidden="false" customHeight="false" outlineLevel="0" collapsed="false">
      <c r="A87" s="28" t="str">
        <f aca="false">IFERROR(INDEX(_Segéd!$G$2:$G$793,MATCH(36,_Segéd!$H$2:$H$793,0)),"")</f>
        <v>Kozmetikus, manikűr, pedikűr</v>
      </c>
      <c r="B87" s="29" t="n">
        <f aca="false">IF($A87="","",SUMIF(Január!$A$31:$A$116,$A87,Január!$B$31:$B$116))</f>
        <v>0</v>
      </c>
      <c r="C87" s="29" t="n">
        <f aca="false">IF($A87="","",SUMIF(Február!$A$31:$A$116,$A87,Február!$B$31:$B$116))</f>
        <v>0</v>
      </c>
      <c r="D87" s="29" t="n">
        <f aca="false">IF($A87="","",SUMIF(Március!$A$31:$A$116,$A87,Március!$B$31:$B$116))</f>
        <v>0</v>
      </c>
      <c r="E87" s="29" t="n">
        <f aca="false">IF($A87="","",SUMIF(Április!$A$31:$A$116,$A87,Április!$B$31:$B$116))</f>
        <v>0</v>
      </c>
      <c r="F87" s="29" t="n">
        <f aca="false">IF($A87="","",SUMIF(Május!$A$31:$A$116,$A87,Május!$B$31:$B$116))</f>
        <v>0</v>
      </c>
      <c r="G87" s="29" t="n">
        <f aca="false">IF($A87="","",SUMIF(Június!$A$31:$A$116,$A87,Június!$B$31:$B$116))</f>
        <v>0</v>
      </c>
      <c r="H87" s="29" t="n">
        <f aca="false">IF($A87="","",SUMIF(Július!$A$31:$A$116,$A87,Július!$B$31:$B$116))</f>
        <v>0</v>
      </c>
      <c r="I87" s="29" t="n">
        <f aca="false">IF($A87="","",SUMIF(Augusztus!$A$31:$A$116,$A87,Augusztus!$B$31:$B$116))</f>
        <v>0</v>
      </c>
      <c r="J87" s="29" t="n">
        <f aca="false">IF($A87="","",SUMIF(Szeptember!$A$31:$A$116,$A87,Szeptember!$B$31:$B$116))</f>
        <v>0</v>
      </c>
      <c r="K87" s="29" t="n">
        <f aca="false">IF($A87="","",SUMIF(Október!$A$31:$A$116,$A87,Október!$B$31:$B$116))</f>
        <v>0</v>
      </c>
      <c r="L87" s="29" t="n">
        <f aca="false">IF($A87="","",SUMIF(November!$A$31:$A$116,$A87,November!$B$31:$B$116))</f>
        <v>0</v>
      </c>
      <c r="M87" s="29" t="n">
        <f aca="false">IF($A87="","",SUMIF(December!$A$31:$A$116,$A87,December!$B$31:$B$116))</f>
        <v>0</v>
      </c>
      <c r="N87" s="15" t="n">
        <f aca="false">IF($A87="","",SUM(B87:M87))</f>
        <v>0</v>
      </c>
      <c r="O87" s="25" t="n">
        <f aca="false">IF($A87="","",N87/MAX(1,$Q$1))</f>
        <v>0</v>
      </c>
      <c r="P87" s="30" t="str">
        <f aca="false">IF(OR(N87="",$N$7=0),"",N87/$N$7)</f>
        <v/>
      </c>
    </row>
    <row r="88" customFormat="false" ht="15" hidden="false" customHeight="false" outlineLevel="0" collapsed="false">
      <c r="A88" s="28" t="str">
        <f aca="false">IFERROR(INDEX(_Segéd!$G$2:$G$793,MATCH(37,_Segéd!$H$2:$H$793,0)),"")</f>
        <v>Kozmetikumok, parfüm</v>
      </c>
      <c r="B88" s="29" t="n">
        <f aca="false">IF($A88="","",SUMIF(Január!$A$31:$A$116,$A88,Január!$B$31:$B$116))</f>
        <v>0</v>
      </c>
      <c r="C88" s="29" t="n">
        <f aca="false">IF($A88="","",SUMIF(Február!$A$31:$A$116,$A88,Február!$B$31:$B$116))</f>
        <v>0</v>
      </c>
      <c r="D88" s="29" t="n">
        <f aca="false">IF($A88="","",SUMIF(Március!$A$31:$A$116,$A88,Március!$B$31:$B$116))</f>
        <v>0</v>
      </c>
      <c r="E88" s="29" t="n">
        <f aca="false">IF($A88="","",SUMIF(Április!$A$31:$A$116,$A88,Április!$B$31:$B$116))</f>
        <v>0</v>
      </c>
      <c r="F88" s="29" t="n">
        <f aca="false">IF($A88="","",SUMIF(Május!$A$31:$A$116,$A88,Május!$B$31:$B$116))</f>
        <v>0</v>
      </c>
      <c r="G88" s="29" t="n">
        <f aca="false">IF($A88="","",SUMIF(Június!$A$31:$A$116,$A88,Június!$B$31:$B$116))</f>
        <v>0</v>
      </c>
      <c r="H88" s="29" t="n">
        <f aca="false">IF($A88="","",SUMIF(Július!$A$31:$A$116,$A88,Július!$B$31:$B$116))</f>
        <v>0</v>
      </c>
      <c r="I88" s="29" t="n">
        <f aca="false">IF($A88="","",SUMIF(Augusztus!$A$31:$A$116,$A88,Augusztus!$B$31:$B$116))</f>
        <v>0</v>
      </c>
      <c r="J88" s="29" t="n">
        <f aca="false">IF($A88="","",SUMIF(Szeptember!$A$31:$A$116,$A88,Szeptember!$B$31:$B$116))</f>
        <v>0</v>
      </c>
      <c r="K88" s="29" t="n">
        <f aca="false">IF($A88="","",SUMIF(Október!$A$31:$A$116,$A88,Október!$B$31:$B$116))</f>
        <v>0</v>
      </c>
      <c r="L88" s="29" t="n">
        <f aca="false">IF($A88="","",SUMIF(November!$A$31:$A$116,$A88,November!$B$31:$B$116))</f>
        <v>0</v>
      </c>
      <c r="M88" s="29" t="n">
        <f aca="false">IF($A88="","",SUMIF(December!$A$31:$A$116,$A88,December!$B$31:$B$116))</f>
        <v>0</v>
      </c>
      <c r="N88" s="15" t="n">
        <f aca="false">IF($A88="","",SUM(B88:M88))</f>
        <v>0</v>
      </c>
      <c r="O88" s="25" t="n">
        <f aca="false">IF($A88="","",N88/MAX(1,$Q$1))</f>
        <v>0</v>
      </c>
      <c r="P88" s="30" t="str">
        <f aca="false">IF(OR(N88="",$N$7=0),"",N88/$N$7)</f>
        <v/>
      </c>
    </row>
    <row r="89" customFormat="false" ht="15" hidden="false" customHeight="false" outlineLevel="0" collapsed="false">
      <c r="A89" s="28" t="str">
        <f aca="false">IFERROR(INDEX(_Segéd!$G$2:$G$793,MATCH(38,_Segéd!$H$2:$H$793,0)),"")</f>
        <v>Edzés, sport, bérlet</v>
      </c>
      <c r="B89" s="29" t="n">
        <f aca="false">IF($A89="","",SUMIF(Január!$A$31:$A$116,$A89,Január!$B$31:$B$116))</f>
        <v>0</v>
      </c>
      <c r="C89" s="29" t="n">
        <f aca="false">IF($A89="","",SUMIF(Február!$A$31:$A$116,$A89,Február!$B$31:$B$116))</f>
        <v>0</v>
      </c>
      <c r="D89" s="29" t="n">
        <f aca="false">IF($A89="","",SUMIF(Március!$A$31:$A$116,$A89,Március!$B$31:$B$116))</f>
        <v>0</v>
      </c>
      <c r="E89" s="29" t="n">
        <f aca="false">IF($A89="","",SUMIF(Április!$A$31:$A$116,$A89,Április!$B$31:$B$116))</f>
        <v>0</v>
      </c>
      <c r="F89" s="29" t="n">
        <f aca="false">IF($A89="","",SUMIF(Május!$A$31:$A$116,$A89,Május!$B$31:$B$116))</f>
        <v>0</v>
      </c>
      <c r="G89" s="29" t="n">
        <f aca="false">IF($A89="","",SUMIF(Június!$A$31:$A$116,$A89,Június!$B$31:$B$116))</f>
        <v>0</v>
      </c>
      <c r="H89" s="29" t="n">
        <f aca="false">IF($A89="","",SUMIF(Július!$A$31:$A$116,$A89,Július!$B$31:$B$116))</f>
        <v>0</v>
      </c>
      <c r="I89" s="29" t="n">
        <f aca="false">IF($A89="","",SUMIF(Augusztus!$A$31:$A$116,$A89,Augusztus!$B$31:$B$116))</f>
        <v>0</v>
      </c>
      <c r="J89" s="29" t="n">
        <f aca="false">IF($A89="","",SUMIF(Szeptember!$A$31:$A$116,$A89,Szeptember!$B$31:$B$116))</f>
        <v>0</v>
      </c>
      <c r="K89" s="29" t="n">
        <f aca="false">IF($A89="","",SUMIF(Október!$A$31:$A$116,$A89,Október!$B$31:$B$116))</f>
        <v>0</v>
      </c>
      <c r="L89" s="29" t="n">
        <f aca="false">IF($A89="","",SUMIF(November!$A$31:$A$116,$A89,November!$B$31:$B$116))</f>
        <v>0</v>
      </c>
      <c r="M89" s="29" t="n">
        <f aca="false">IF($A89="","",SUMIF(December!$A$31:$A$116,$A89,December!$B$31:$B$116))</f>
        <v>0</v>
      </c>
      <c r="N89" s="15" t="n">
        <f aca="false">IF($A89="","",SUM(B89:M89))</f>
        <v>0</v>
      </c>
      <c r="O89" s="25" t="n">
        <f aca="false">IF($A89="","",N89/MAX(1,$Q$1))</f>
        <v>0</v>
      </c>
      <c r="P89" s="30" t="str">
        <f aca="false">IF(OR(N89="",$N$7=0),"",N89/$N$7)</f>
        <v/>
      </c>
    </row>
    <row r="90" customFormat="false" ht="15" hidden="false" customHeight="false" outlineLevel="0" collapsed="false">
      <c r="A90" s="28" t="str">
        <f aca="false">IFERROR(INDEX(_Segéd!$G$2:$G$793,MATCH(39,_Segéd!$H$2:$H$793,0)),"")</f>
        <v>Gyógyszer, vitamin</v>
      </c>
      <c r="B90" s="29" t="n">
        <f aca="false">IF($A90="","",SUMIF(Január!$A$31:$A$116,$A90,Január!$B$31:$B$116))</f>
        <v>0</v>
      </c>
      <c r="C90" s="29" t="n">
        <f aca="false">IF($A90="","",SUMIF(Február!$A$31:$A$116,$A90,Február!$B$31:$B$116))</f>
        <v>0</v>
      </c>
      <c r="D90" s="29" t="n">
        <f aca="false">IF($A90="","",SUMIF(Március!$A$31:$A$116,$A90,Március!$B$31:$B$116))</f>
        <v>0</v>
      </c>
      <c r="E90" s="29" t="n">
        <f aca="false">IF($A90="","",SUMIF(Április!$A$31:$A$116,$A90,Április!$B$31:$B$116))</f>
        <v>0</v>
      </c>
      <c r="F90" s="29" t="n">
        <f aca="false">IF($A90="","",SUMIF(Május!$A$31:$A$116,$A90,Május!$B$31:$B$116))</f>
        <v>0</v>
      </c>
      <c r="G90" s="29" t="n">
        <f aca="false">IF($A90="","",SUMIF(Június!$A$31:$A$116,$A90,Június!$B$31:$B$116))</f>
        <v>0</v>
      </c>
      <c r="H90" s="29" t="n">
        <f aca="false">IF($A90="","",SUMIF(Július!$A$31:$A$116,$A90,Július!$B$31:$B$116))</f>
        <v>0</v>
      </c>
      <c r="I90" s="29" t="n">
        <f aca="false">IF($A90="","",SUMIF(Augusztus!$A$31:$A$116,$A90,Augusztus!$B$31:$B$116))</f>
        <v>0</v>
      </c>
      <c r="J90" s="29" t="n">
        <f aca="false">IF($A90="","",SUMIF(Szeptember!$A$31:$A$116,$A90,Szeptember!$B$31:$B$116))</f>
        <v>0</v>
      </c>
      <c r="K90" s="29" t="n">
        <f aca="false">IF($A90="","",SUMIF(Október!$A$31:$A$116,$A90,Október!$B$31:$B$116))</f>
        <v>0</v>
      </c>
      <c r="L90" s="29" t="n">
        <f aca="false">IF($A90="","",SUMIF(November!$A$31:$A$116,$A90,November!$B$31:$B$116))</f>
        <v>0</v>
      </c>
      <c r="M90" s="29" t="n">
        <f aca="false">IF($A90="","",SUMIF(December!$A$31:$A$116,$A90,December!$B$31:$B$116))</f>
        <v>0</v>
      </c>
      <c r="N90" s="15" t="n">
        <f aca="false">IF($A90="","",SUM(B90:M90))</f>
        <v>0</v>
      </c>
      <c r="O90" s="25" t="n">
        <f aca="false">IF($A90="","",N90/MAX(1,$Q$1))</f>
        <v>0</v>
      </c>
      <c r="P90" s="30" t="str">
        <f aca="false">IF(OR(N90="",$N$7=0),"",N90/$N$7)</f>
        <v/>
      </c>
    </row>
    <row r="91" customFormat="false" ht="15" hidden="false" customHeight="false" outlineLevel="0" collapsed="false">
      <c r="A91" s="28" t="str">
        <f aca="false">IFERROR(INDEX(_Segéd!$G$2:$G$793,MATCH(40,_Segéd!$H$2:$H$793,0)),"")</f>
        <v>Orvos, fogorvos, magánrendelés</v>
      </c>
      <c r="B91" s="29" t="n">
        <f aca="false">IF($A91="","",SUMIF(Január!$A$31:$A$116,$A91,Január!$B$31:$B$116))</f>
        <v>0</v>
      </c>
      <c r="C91" s="29" t="n">
        <f aca="false">IF($A91="","",SUMIF(Február!$A$31:$A$116,$A91,Február!$B$31:$B$116))</f>
        <v>0</v>
      </c>
      <c r="D91" s="29" t="n">
        <f aca="false">IF($A91="","",SUMIF(Március!$A$31:$A$116,$A91,Március!$B$31:$B$116))</f>
        <v>0</v>
      </c>
      <c r="E91" s="29" t="n">
        <f aca="false">IF($A91="","",SUMIF(Április!$A$31:$A$116,$A91,Április!$B$31:$B$116))</f>
        <v>0</v>
      </c>
      <c r="F91" s="29" t="n">
        <f aca="false">IF($A91="","",SUMIF(Május!$A$31:$A$116,$A91,Május!$B$31:$B$116))</f>
        <v>0</v>
      </c>
      <c r="G91" s="29" t="n">
        <f aca="false">IF($A91="","",SUMIF(Június!$A$31:$A$116,$A91,Június!$B$31:$B$116))</f>
        <v>0</v>
      </c>
      <c r="H91" s="29" t="n">
        <f aca="false">IF($A91="","",SUMIF(Július!$A$31:$A$116,$A91,Július!$B$31:$B$116))</f>
        <v>0</v>
      </c>
      <c r="I91" s="29" t="n">
        <f aca="false">IF($A91="","",SUMIF(Augusztus!$A$31:$A$116,$A91,Augusztus!$B$31:$B$116))</f>
        <v>0</v>
      </c>
      <c r="J91" s="29" t="n">
        <f aca="false">IF($A91="","",SUMIF(Szeptember!$A$31:$A$116,$A91,Szeptember!$B$31:$B$116))</f>
        <v>0</v>
      </c>
      <c r="K91" s="29" t="n">
        <f aca="false">IF($A91="","",SUMIF(Október!$A$31:$A$116,$A91,Október!$B$31:$B$116))</f>
        <v>0</v>
      </c>
      <c r="L91" s="29" t="n">
        <f aca="false">IF($A91="","",SUMIF(November!$A$31:$A$116,$A91,November!$B$31:$B$116))</f>
        <v>0</v>
      </c>
      <c r="M91" s="29" t="n">
        <f aca="false">IF($A91="","",SUMIF(December!$A$31:$A$116,$A91,December!$B$31:$B$116))</f>
        <v>0</v>
      </c>
      <c r="N91" s="15" t="n">
        <f aca="false">IF($A91="","",SUM(B91:M91))</f>
        <v>0</v>
      </c>
      <c r="O91" s="25" t="n">
        <f aca="false">IF($A91="","",N91/MAX(1,$Q$1))</f>
        <v>0</v>
      </c>
      <c r="P91" s="30" t="str">
        <f aca="false">IF(OR(N91="",$N$7=0),"",N91/$N$7)</f>
        <v/>
      </c>
    </row>
    <row r="92" customFormat="false" ht="15" hidden="false" customHeight="false" outlineLevel="0" collapsed="false">
      <c r="A92" s="28" t="str">
        <f aca="false">IFERROR(INDEX(_Segéd!$G$2:$G$793,MATCH(41,_Segéd!$H$2:$H$793,0)),"")</f>
        <v>Cigaretta, dohány</v>
      </c>
      <c r="B92" s="29" t="n">
        <f aca="false">IF($A92="","",SUMIF(Január!$A$31:$A$116,$A92,Január!$B$31:$B$116))</f>
        <v>0</v>
      </c>
      <c r="C92" s="29" t="n">
        <f aca="false">IF($A92="","",SUMIF(Február!$A$31:$A$116,$A92,Február!$B$31:$B$116))</f>
        <v>0</v>
      </c>
      <c r="D92" s="29" t="n">
        <f aca="false">IF($A92="","",SUMIF(Március!$A$31:$A$116,$A92,Március!$B$31:$B$116))</f>
        <v>0</v>
      </c>
      <c r="E92" s="29" t="n">
        <f aca="false">IF($A92="","",SUMIF(Április!$A$31:$A$116,$A92,Április!$B$31:$B$116))</f>
        <v>0</v>
      </c>
      <c r="F92" s="29" t="n">
        <f aca="false">IF($A92="","",SUMIF(Május!$A$31:$A$116,$A92,Május!$B$31:$B$116))</f>
        <v>0</v>
      </c>
      <c r="G92" s="29" t="n">
        <f aca="false">IF($A92="","",SUMIF(Június!$A$31:$A$116,$A92,Június!$B$31:$B$116))</f>
        <v>0</v>
      </c>
      <c r="H92" s="29" t="n">
        <f aca="false">IF($A92="","",SUMIF(Július!$A$31:$A$116,$A92,Július!$B$31:$B$116))</f>
        <v>0</v>
      </c>
      <c r="I92" s="29" t="n">
        <f aca="false">IF($A92="","",SUMIF(Augusztus!$A$31:$A$116,$A92,Augusztus!$B$31:$B$116))</f>
        <v>0</v>
      </c>
      <c r="J92" s="29" t="n">
        <f aca="false">IF($A92="","",SUMIF(Szeptember!$A$31:$A$116,$A92,Szeptember!$B$31:$B$116))</f>
        <v>0</v>
      </c>
      <c r="K92" s="29" t="n">
        <f aca="false">IF($A92="","",SUMIF(Október!$A$31:$A$116,$A92,Október!$B$31:$B$116))</f>
        <v>0</v>
      </c>
      <c r="L92" s="29" t="n">
        <f aca="false">IF($A92="","",SUMIF(November!$A$31:$A$116,$A92,November!$B$31:$B$116))</f>
        <v>0</v>
      </c>
      <c r="M92" s="29" t="n">
        <f aca="false">IF($A92="","",SUMIF(December!$A$31:$A$116,$A92,December!$B$31:$B$116))</f>
        <v>0</v>
      </c>
      <c r="N92" s="15" t="n">
        <f aca="false">IF($A92="","",SUM(B92:M92))</f>
        <v>0</v>
      </c>
      <c r="O92" s="25" t="n">
        <f aca="false">IF($A92="","",N92/MAX(1,$Q$1))</f>
        <v>0</v>
      </c>
      <c r="P92" s="30" t="str">
        <f aca="false">IF(OR(N92="",$N$7=0),"",N92/$N$7)</f>
        <v/>
      </c>
    </row>
    <row r="93" customFormat="false" ht="15" hidden="false" customHeight="false" outlineLevel="0" collapsed="false">
      <c r="A93" s="28" t="str">
        <f aca="false">IFERROR(INDEX(_Segéd!$G$2:$G$793,MATCH(42,_Segéd!$H$2:$H$793,0)),"")</f>
        <v>E-cigaretta, hevített dohánytermék</v>
      </c>
      <c r="B93" s="29" t="n">
        <f aca="false">IF($A93="","",SUMIF(Január!$A$31:$A$116,$A93,Január!$B$31:$B$116))</f>
        <v>0</v>
      </c>
      <c r="C93" s="29" t="n">
        <f aca="false">IF($A93="","",SUMIF(Február!$A$31:$A$116,$A93,Február!$B$31:$B$116))</f>
        <v>0</v>
      </c>
      <c r="D93" s="29" t="n">
        <f aca="false">IF($A93="","",SUMIF(Március!$A$31:$A$116,$A93,Március!$B$31:$B$116))</f>
        <v>0</v>
      </c>
      <c r="E93" s="29" t="n">
        <f aca="false">IF($A93="","",SUMIF(Április!$A$31:$A$116,$A93,Április!$B$31:$B$116))</f>
        <v>0</v>
      </c>
      <c r="F93" s="29" t="n">
        <f aca="false">IF($A93="","",SUMIF(Május!$A$31:$A$116,$A93,Május!$B$31:$B$116))</f>
        <v>0</v>
      </c>
      <c r="G93" s="29" t="n">
        <f aca="false">IF($A93="","",SUMIF(Június!$A$31:$A$116,$A93,Június!$B$31:$B$116))</f>
        <v>0</v>
      </c>
      <c r="H93" s="29" t="n">
        <f aca="false">IF($A93="","",SUMIF(Július!$A$31:$A$116,$A93,Július!$B$31:$B$116))</f>
        <v>0</v>
      </c>
      <c r="I93" s="29" t="n">
        <f aca="false">IF($A93="","",SUMIF(Augusztus!$A$31:$A$116,$A93,Augusztus!$B$31:$B$116))</f>
        <v>0</v>
      </c>
      <c r="J93" s="29" t="n">
        <f aca="false">IF($A93="","",SUMIF(Szeptember!$A$31:$A$116,$A93,Szeptember!$B$31:$B$116))</f>
        <v>0</v>
      </c>
      <c r="K93" s="29" t="n">
        <f aca="false">IF($A93="","",SUMIF(Október!$A$31:$A$116,$A93,Október!$B$31:$B$116))</f>
        <v>0</v>
      </c>
      <c r="L93" s="29" t="n">
        <f aca="false">IF($A93="","",SUMIF(November!$A$31:$A$116,$A93,November!$B$31:$B$116))</f>
        <v>0</v>
      </c>
      <c r="M93" s="29" t="n">
        <f aca="false">IF($A93="","",SUMIF(December!$A$31:$A$116,$A93,December!$B$31:$B$116))</f>
        <v>0</v>
      </c>
      <c r="N93" s="15" t="n">
        <f aca="false">IF($A93="","",SUM(B93:M93))</f>
        <v>0</v>
      </c>
      <c r="O93" s="25" t="n">
        <f aca="false">IF($A93="","",N93/MAX(1,$Q$1))</f>
        <v>0</v>
      </c>
      <c r="P93" s="30" t="str">
        <f aca="false">IF(OR(N93="",$N$7=0),"",N93/$N$7)</f>
        <v/>
      </c>
    </row>
    <row r="94" customFormat="false" ht="15" hidden="false" customHeight="false" outlineLevel="0" collapsed="false">
      <c r="A94" s="28" t="str">
        <f aca="false">IFERROR(INDEX(_Segéd!$G$2:$G$793,MATCH(43,_Segéd!$H$2:$H$793,0)),"")</f>
        <v>Állateledel, jutalomfalat</v>
      </c>
      <c r="B94" s="29" t="n">
        <f aca="false">IF($A94="","",SUMIF(Január!$A$31:$A$116,$A94,Január!$B$31:$B$116))</f>
        <v>0</v>
      </c>
      <c r="C94" s="29" t="n">
        <f aca="false">IF($A94="","",SUMIF(Február!$A$31:$A$116,$A94,Február!$B$31:$B$116))</f>
        <v>0</v>
      </c>
      <c r="D94" s="29" t="n">
        <f aca="false">IF($A94="","",SUMIF(Március!$A$31:$A$116,$A94,Március!$B$31:$B$116))</f>
        <v>0</v>
      </c>
      <c r="E94" s="29" t="n">
        <f aca="false">IF($A94="","",SUMIF(Április!$A$31:$A$116,$A94,Április!$B$31:$B$116))</f>
        <v>0</v>
      </c>
      <c r="F94" s="29" t="n">
        <f aca="false">IF($A94="","",SUMIF(Május!$A$31:$A$116,$A94,Május!$B$31:$B$116))</f>
        <v>0</v>
      </c>
      <c r="G94" s="29" t="n">
        <f aca="false">IF($A94="","",SUMIF(Június!$A$31:$A$116,$A94,Június!$B$31:$B$116))</f>
        <v>0</v>
      </c>
      <c r="H94" s="29" t="n">
        <f aca="false">IF($A94="","",SUMIF(Július!$A$31:$A$116,$A94,Július!$B$31:$B$116))</f>
        <v>0</v>
      </c>
      <c r="I94" s="29" t="n">
        <f aca="false">IF($A94="","",SUMIF(Augusztus!$A$31:$A$116,$A94,Augusztus!$B$31:$B$116))</f>
        <v>0</v>
      </c>
      <c r="J94" s="29" t="n">
        <f aca="false">IF($A94="","",SUMIF(Szeptember!$A$31:$A$116,$A94,Szeptember!$B$31:$B$116))</f>
        <v>0</v>
      </c>
      <c r="K94" s="29" t="n">
        <f aca="false">IF($A94="","",SUMIF(Október!$A$31:$A$116,$A94,Október!$B$31:$B$116))</f>
        <v>0</v>
      </c>
      <c r="L94" s="29" t="n">
        <f aca="false">IF($A94="","",SUMIF(November!$A$31:$A$116,$A94,November!$B$31:$B$116))</f>
        <v>0</v>
      </c>
      <c r="M94" s="29" t="n">
        <f aca="false">IF($A94="","",SUMIF(December!$A$31:$A$116,$A94,December!$B$31:$B$116))</f>
        <v>0</v>
      </c>
      <c r="N94" s="15" t="n">
        <f aca="false">IF($A94="","",SUM(B94:M94))</f>
        <v>0</v>
      </c>
      <c r="O94" s="25" t="n">
        <f aca="false">IF($A94="","",N94/MAX(1,$Q$1))</f>
        <v>0</v>
      </c>
      <c r="P94" s="30" t="str">
        <f aca="false">IF(OR(N94="",$N$7=0),"",N94/$N$7)</f>
        <v/>
      </c>
    </row>
    <row r="95" customFormat="false" ht="15" hidden="false" customHeight="false" outlineLevel="0" collapsed="false">
      <c r="A95" s="28" t="str">
        <f aca="false">IFERROR(INDEX(_Segéd!$G$2:$G$793,MATCH(44,_Segéd!$H$2:$H$793,0)),"")</f>
        <v>Állatorvos, oltások, gyógyszer</v>
      </c>
      <c r="B95" s="29" t="n">
        <f aca="false">IF($A95="","",SUMIF(Január!$A$31:$A$116,$A95,Január!$B$31:$B$116))</f>
        <v>0</v>
      </c>
      <c r="C95" s="29" t="n">
        <f aca="false">IF($A95="","",SUMIF(Február!$A$31:$A$116,$A95,Február!$B$31:$B$116))</f>
        <v>0</v>
      </c>
      <c r="D95" s="29" t="n">
        <f aca="false">IF($A95="","",SUMIF(Március!$A$31:$A$116,$A95,Március!$B$31:$B$116))</f>
        <v>0</v>
      </c>
      <c r="E95" s="29" t="n">
        <f aca="false">IF($A95="","",SUMIF(Április!$A$31:$A$116,$A95,Április!$B$31:$B$116))</f>
        <v>0</v>
      </c>
      <c r="F95" s="29" t="n">
        <f aca="false">IF($A95="","",SUMIF(Május!$A$31:$A$116,$A95,Május!$B$31:$B$116))</f>
        <v>0</v>
      </c>
      <c r="G95" s="29" t="n">
        <f aca="false">IF($A95="","",SUMIF(Június!$A$31:$A$116,$A95,Június!$B$31:$B$116))</f>
        <v>0</v>
      </c>
      <c r="H95" s="29" t="n">
        <f aca="false">IF($A95="","",SUMIF(Július!$A$31:$A$116,$A95,Július!$B$31:$B$116))</f>
        <v>0</v>
      </c>
      <c r="I95" s="29" t="n">
        <f aca="false">IF($A95="","",SUMIF(Augusztus!$A$31:$A$116,$A95,Augusztus!$B$31:$B$116))</f>
        <v>0</v>
      </c>
      <c r="J95" s="29" t="n">
        <f aca="false">IF($A95="","",SUMIF(Szeptember!$A$31:$A$116,$A95,Szeptember!$B$31:$B$116))</f>
        <v>0</v>
      </c>
      <c r="K95" s="29" t="n">
        <f aca="false">IF($A95="","",SUMIF(Október!$A$31:$A$116,$A95,Október!$B$31:$B$116))</f>
        <v>0</v>
      </c>
      <c r="L95" s="29" t="n">
        <f aca="false">IF($A95="","",SUMIF(November!$A$31:$A$116,$A95,November!$B$31:$B$116))</f>
        <v>0</v>
      </c>
      <c r="M95" s="29" t="n">
        <f aca="false">IF($A95="","",SUMIF(December!$A$31:$A$116,$A95,December!$B$31:$B$116))</f>
        <v>0</v>
      </c>
      <c r="N95" s="15" t="n">
        <f aca="false">IF($A95="","",SUM(B95:M95))</f>
        <v>0</v>
      </c>
      <c r="O95" s="25" t="n">
        <f aca="false">IF($A95="","",N95/MAX(1,$Q$1))</f>
        <v>0</v>
      </c>
      <c r="P95" s="30" t="str">
        <f aca="false">IF(OR(N95="",$N$7=0),"",N95/$N$7)</f>
        <v/>
      </c>
    </row>
    <row r="96" customFormat="false" ht="15" hidden="false" customHeight="false" outlineLevel="0" collapsed="false">
      <c r="A96" s="28" t="str">
        <f aca="false">IFERROR(INDEX(_Segéd!$G$2:$G$793,MATCH(45,_Segéd!$H$2:$H$793,0)),"")</f>
        <v>Felszerelés, alom, játékok</v>
      </c>
      <c r="B96" s="29" t="n">
        <f aca="false">IF($A96="","",SUMIF(Január!$A$31:$A$116,$A96,Január!$B$31:$B$116))</f>
        <v>0</v>
      </c>
      <c r="C96" s="29" t="n">
        <f aca="false">IF($A96="","",SUMIF(Február!$A$31:$A$116,$A96,Február!$B$31:$B$116))</f>
        <v>0</v>
      </c>
      <c r="D96" s="29" t="n">
        <f aca="false">IF($A96="","",SUMIF(Március!$A$31:$A$116,$A96,Március!$B$31:$B$116))</f>
        <v>0</v>
      </c>
      <c r="E96" s="29" t="n">
        <f aca="false">IF($A96="","",SUMIF(Április!$A$31:$A$116,$A96,Április!$B$31:$B$116))</f>
        <v>0</v>
      </c>
      <c r="F96" s="29" t="n">
        <f aca="false">IF($A96="","",SUMIF(Május!$A$31:$A$116,$A96,Május!$B$31:$B$116))</f>
        <v>0</v>
      </c>
      <c r="G96" s="29" t="n">
        <f aca="false">IF($A96="","",SUMIF(Június!$A$31:$A$116,$A96,Június!$B$31:$B$116))</f>
        <v>0</v>
      </c>
      <c r="H96" s="29" t="n">
        <f aca="false">IF($A96="","",SUMIF(Július!$A$31:$A$116,$A96,Július!$B$31:$B$116))</f>
        <v>0</v>
      </c>
      <c r="I96" s="29" t="n">
        <f aca="false">IF($A96="","",SUMIF(Augusztus!$A$31:$A$116,$A96,Augusztus!$B$31:$B$116))</f>
        <v>0</v>
      </c>
      <c r="J96" s="29" t="n">
        <f aca="false">IF($A96="","",SUMIF(Szeptember!$A$31:$A$116,$A96,Szeptember!$B$31:$B$116))</f>
        <v>0</v>
      </c>
      <c r="K96" s="29" t="n">
        <f aca="false">IF($A96="","",SUMIF(Október!$A$31:$A$116,$A96,Október!$B$31:$B$116))</f>
        <v>0</v>
      </c>
      <c r="L96" s="29" t="n">
        <f aca="false">IF($A96="","",SUMIF(November!$A$31:$A$116,$A96,November!$B$31:$B$116))</f>
        <v>0</v>
      </c>
      <c r="M96" s="29" t="n">
        <f aca="false">IF($A96="","",SUMIF(December!$A$31:$A$116,$A96,December!$B$31:$B$116))</f>
        <v>0</v>
      </c>
      <c r="N96" s="15" t="n">
        <f aca="false">IF($A96="","",SUM(B96:M96))</f>
        <v>0</v>
      </c>
      <c r="O96" s="25" t="n">
        <f aca="false">IF($A96="","",N96/MAX(1,$Q$1))</f>
        <v>0</v>
      </c>
      <c r="P96" s="30" t="str">
        <f aca="false">IF(OR(N96="",$N$7=0),"",N96/$N$7)</f>
        <v/>
      </c>
    </row>
    <row r="97" customFormat="false" ht="15" hidden="false" customHeight="false" outlineLevel="0" collapsed="false">
      <c r="A97" s="28" t="str">
        <f aca="false">IFERROR(INDEX(_Segéd!$G$2:$G$793,MATCH(46,_Segéd!$H$2:$H$793,0)),"")</f>
        <v>Kisállat-kozmetika, panzió, kutyaiskola</v>
      </c>
      <c r="B97" s="29" t="n">
        <f aca="false">IF($A97="","",SUMIF(Január!$A$31:$A$116,$A97,Január!$B$31:$B$116))</f>
        <v>0</v>
      </c>
      <c r="C97" s="29" t="n">
        <f aca="false">IF($A97="","",SUMIF(Február!$A$31:$A$116,$A97,Február!$B$31:$B$116))</f>
        <v>0</v>
      </c>
      <c r="D97" s="29" t="n">
        <f aca="false">IF($A97="","",SUMIF(Március!$A$31:$A$116,$A97,Március!$B$31:$B$116))</f>
        <v>0</v>
      </c>
      <c r="E97" s="29" t="n">
        <f aca="false">IF($A97="","",SUMIF(Április!$A$31:$A$116,$A97,Április!$B$31:$B$116))</f>
        <v>0</v>
      </c>
      <c r="F97" s="29" t="n">
        <f aca="false">IF($A97="","",SUMIF(Május!$A$31:$A$116,$A97,Május!$B$31:$B$116))</f>
        <v>0</v>
      </c>
      <c r="G97" s="29" t="n">
        <f aca="false">IF($A97="","",SUMIF(Június!$A$31:$A$116,$A97,Június!$B$31:$B$116))</f>
        <v>0</v>
      </c>
      <c r="H97" s="29" t="n">
        <f aca="false">IF($A97="","",SUMIF(Július!$A$31:$A$116,$A97,Július!$B$31:$B$116))</f>
        <v>0</v>
      </c>
      <c r="I97" s="29" t="n">
        <f aca="false">IF($A97="","",SUMIF(Augusztus!$A$31:$A$116,$A97,Augusztus!$B$31:$B$116))</f>
        <v>0</v>
      </c>
      <c r="J97" s="29" t="n">
        <f aca="false">IF($A97="","",SUMIF(Szeptember!$A$31:$A$116,$A97,Szeptember!$B$31:$B$116))</f>
        <v>0</v>
      </c>
      <c r="K97" s="29" t="n">
        <f aca="false">IF($A97="","",SUMIF(Október!$A$31:$A$116,$A97,Október!$B$31:$B$116))</f>
        <v>0</v>
      </c>
      <c r="L97" s="29" t="n">
        <f aca="false">IF($A97="","",SUMIF(November!$A$31:$A$116,$A97,November!$B$31:$B$116))</f>
        <v>0</v>
      </c>
      <c r="M97" s="29" t="n">
        <f aca="false">IF($A97="","",SUMIF(December!$A$31:$A$116,$A97,December!$B$31:$B$116))</f>
        <v>0</v>
      </c>
      <c r="N97" s="15" t="n">
        <f aca="false">IF($A97="","",SUM(B97:M97))</f>
        <v>0</v>
      </c>
      <c r="O97" s="25" t="n">
        <f aca="false">IF($A97="","",N97/MAX(1,$Q$1))</f>
        <v>0</v>
      </c>
      <c r="P97" s="30" t="str">
        <f aca="false">IF(OR(N97="",$N$7=0),"",N97/$N$7)</f>
        <v/>
      </c>
    </row>
    <row r="98" customFormat="false" ht="15" hidden="false" customHeight="false" outlineLevel="0" collapsed="false">
      <c r="A98" s="28" t="str">
        <f aca="false">IFERROR(INDEX(_Segéd!$G$2:$G$793,MATCH(47,_Segéd!$H$2:$H$793,0)),"")</f>
        <v>Hobbi</v>
      </c>
      <c r="B98" s="29" t="n">
        <f aca="false">IF($A98="","",SUMIF(Január!$A$31:$A$116,$A98,Január!$B$31:$B$116))</f>
        <v>0</v>
      </c>
      <c r="C98" s="29" t="n">
        <f aca="false">IF($A98="","",SUMIF(Február!$A$31:$A$116,$A98,Február!$B$31:$B$116))</f>
        <v>0</v>
      </c>
      <c r="D98" s="29" t="n">
        <f aca="false">IF($A98="","",SUMIF(Március!$A$31:$A$116,$A98,Március!$B$31:$B$116))</f>
        <v>0</v>
      </c>
      <c r="E98" s="29" t="n">
        <f aca="false">IF($A98="","",SUMIF(Április!$A$31:$A$116,$A98,Április!$B$31:$B$116))</f>
        <v>0</v>
      </c>
      <c r="F98" s="29" t="n">
        <f aca="false">IF($A98="","",SUMIF(Május!$A$31:$A$116,$A98,Május!$B$31:$B$116))</f>
        <v>0</v>
      </c>
      <c r="G98" s="29" t="n">
        <f aca="false">IF($A98="","",SUMIF(Június!$A$31:$A$116,$A98,Június!$B$31:$B$116))</f>
        <v>0</v>
      </c>
      <c r="H98" s="29" t="n">
        <f aca="false">IF($A98="","",SUMIF(Július!$A$31:$A$116,$A98,Július!$B$31:$B$116))</f>
        <v>0</v>
      </c>
      <c r="I98" s="29" t="n">
        <f aca="false">IF($A98="","",SUMIF(Augusztus!$A$31:$A$116,$A98,Augusztus!$B$31:$B$116))</f>
        <v>0</v>
      </c>
      <c r="J98" s="29" t="n">
        <f aca="false">IF($A98="","",SUMIF(Szeptember!$A$31:$A$116,$A98,Szeptember!$B$31:$B$116))</f>
        <v>0</v>
      </c>
      <c r="K98" s="29" t="n">
        <f aca="false">IF($A98="","",SUMIF(Október!$A$31:$A$116,$A98,Október!$B$31:$B$116))</f>
        <v>0</v>
      </c>
      <c r="L98" s="29" t="n">
        <f aca="false">IF($A98="","",SUMIF(November!$A$31:$A$116,$A98,November!$B$31:$B$116))</f>
        <v>0</v>
      </c>
      <c r="M98" s="29" t="n">
        <f aca="false">IF($A98="","",SUMIF(December!$A$31:$A$116,$A98,December!$B$31:$B$116))</f>
        <v>0</v>
      </c>
      <c r="N98" s="15" t="n">
        <f aca="false">IF($A98="","",SUM(B98:M98))</f>
        <v>0</v>
      </c>
      <c r="O98" s="25" t="n">
        <f aca="false">IF($A98="","",N98/MAX(1,$Q$1))</f>
        <v>0</v>
      </c>
      <c r="P98" s="30" t="str">
        <f aca="false">IF(OR(N98="",$N$7=0),"",N98/$N$7)</f>
        <v/>
      </c>
    </row>
    <row r="99" customFormat="false" ht="15" hidden="false" customHeight="false" outlineLevel="0" collapsed="false">
      <c r="A99" s="28" t="str">
        <f aca="false">IFERROR(INDEX(_Segéd!$G$2:$G$793,MATCH(48,_Segéd!$H$2:$H$793,0)),"")</f>
        <v>Szórakozás (mozi, színház, koncert, étterem)</v>
      </c>
      <c r="B99" s="29" t="n">
        <f aca="false">IF($A99="","",SUMIF(Január!$A$31:$A$116,$A99,Január!$B$31:$B$116))</f>
        <v>0</v>
      </c>
      <c r="C99" s="29" t="n">
        <f aca="false">IF($A99="","",SUMIF(Február!$A$31:$A$116,$A99,Február!$B$31:$B$116))</f>
        <v>0</v>
      </c>
      <c r="D99" s="29" t="n">
        <f aca="false">IF($A99="","",SUMIF(Március!$A$31:$A$116,$A99,Március!$B$31:$B$116))</f>
        <v>0</v>
      </c>
      <c r="E99" s="29" t="n">
        <f aca="false">IF($A99="","",SUMIF(Április!$A$31:$A$116,$A99,Április!$B$31:$B$116))</f>
        <v>0</v>
      </c>
      <c r="F99" s="29" t="n">
        <f aca="false">IF($A99="","",SUMIF(Május!$A$31:$A$116,$A99,Május!$B$31:$B$116))</f>
        <v>0</v>
      </c>
      <c r="G99" s="29" t="n">
        <f aca="false">IF($A99="","",SUMIF(Június!$A$31:$A$116,$A99,Június!$B$31:$B$116))</f>
        <v>0</v>
      </c>
      <c r="H99" s="29" t="n">
        <f aca="false">IF($A99="","",SUMIF(Július!$A$31:$A$116,$A99,Július!$B$31:$B$116))</f>
        <v>0</v>
      </c>
      <c r="I99" s="29" t="n">
        <f aca="false">IF($A99="","",SUMIF(Augusztus!$A$31:$A$116,$A99,Augusztus!$B$31:$B$116))</f>
        <v>0</v>
      </c>
      <c r="J99" s="29" t="n">
        <f aca="false">IF($A99="","",SUMIF(Szeptember!$A$31:$A$116,$A99,Szeptember!$B$31:$B$116))</f>
        <v>0</v>
      </c>
      <c r="K99" s="29" t="n">
        <f aca="false">IF($A99="","",SUMIF(Október!$A$31:$A$116,$A99,Október!$B$31:$B$116))</f>
        <v>0</v>
      </c>
      <c r="L99" s="29" t="n">
        <f aca="false">IF($A99="","",SUMIF(November!$A$31:$A$116,$A99,November!$B$31:$B$116))</f>
        <v>0</v>
      </c>
      <c r="M99" s="29" t="n">
        <f aca="false">IF($A99="","",SUMIF(December!$A$31:$A$116,$A99,December!$B$31:$B$116))</f>
        <v>0</v>
      </c>
      <c r="N99" s="15" t="n">
        <f aca="false">IF($A99="","",SUM(B99:M99))</f>
        <v>0</v>
      </c>
      <c r="O99" s="25" t="n">
        <f aca="false">IF($A99="","",N99/MAX(1,$Q$1))</f>
        <v>0</v>
      </c>
      <c r="P99" s="30" t="str">
        <f aca="false">IF(OR(N99="",$N$7=0),"",N99/$N$7)</f>
        <v/>
      </c>
    </row>
    <row r="100" customFormat="false" ht="15" hidden="false" customHeight="false" outlineLevel="0" collapsed="false">
      <c r="A100" s="28" t="str">
        <f aca="false">IFERROR(INDEX(_Segéd!$G$2:$G$793,MATCH(49,_Segéd!$H$2:$H$793,0)),"")</f>
        <v>Nyaralás, utazás</v>
      </c>
      <c r="B100" s="29" t="n">
        <f aca="false">IF($A100="","",SUMIF(Január!$A$31:$A$116,$A100,Január!$B$31:$B$116))</f>
        <v>0</v>
      </c>
      <c r="C100" s="29" t="n">
        <f aca="false">IF($A100="","",SUMIF(Február!$A$31:$A$116,$A100,Február!$B$31:$B$116))</f>
        <v>0</v>
      </c>
      <c r="D100" s="29" t="n">
        <f aca="false">IF($A100="","",SUMIF(Március!$A$31:$A$116,$A100,Március!$B$31:$B$116))</f>
        <v>0</v>
      </c>
      <c r="E100" s="29" t="n">
        <f aca="false">IF($A100="","",SUMIF(Április!$A$31:$A$116,$A100,Április!$B$31:$B$116))</f>
        <v>0</v>
      </c>
      <c r="F100" s="29" t="n">
        <f aca="false">IF($A100="","",SUMIF(Május!$A$31:$A$116,$A100,Május!$B$31:$B$116))</f>
        <v>0</v>
      </c>
      <c r="G100" s="29" t="n">
        <f aca="false">IF($A100="","",SUMIF(Június!$A$31:$A$116,$A100,Június!$B$31:$B$116))</f>
        <v>0</v>
      </c>
      <c r="H100" s="29" t="n">
        <f aca="false">IF($A100="","",SUMIF(Július!$A$31:$A$116,$A100,Július!$B$31:$B$116))</f>
        <v>0</v>
      </c>
      <c r="I100" s="29" t="n">
        <f aca="false">IF($A100="","",SUMIF(Augusztus!$A$31:$A$116,$A100,Augusztus!$B$31:$B$116))</f>
        <v>0</v>
      </c>
      <c r="J100" s="29" t="n">
        <f aca="false">IF($A100="","",SUMIF(Szeptember!$A$31:$A$116,$A100,Szeptember!$B$31:$B$116))</f>
        <v>0</v>
      </c>
      <c r="K100" s="29" t="n">
        <f aca="false">IF($A100="","",SUMIF(Október!$A$31:$A$116,$A100,Október!$B$31:$B$116))</f>
        <v>0</v>
      </c>
      <c r="L100" s="29" t="n">
        <f aca="false">IF($A100="","",SUMIF(November!$A$31:$A$116,$A100,November!$B$31:$B$116))</f>
        <v>0</v>
      </c>
      <c r="M100" s="29" t="n">
        <f aca="false">IF($A100="","",SUMIF(December!$A$31:$A$116,$A100,December!$B$31:$B$116))</f>
        <v>0</v>
      </c>
      <c r="N100" s="15" t="n">
        <f aca="false">IF($A100="","",SUM(B100:M100))</f>
        <v>0</v>
      </c>
      <c r="O100" s="25" t="n">
        <f aca="false">IF($A100="","",N100/MAX(1,$Q$1))</f>
        <v>0</v>
      </c>
      <c r="P100" s="30" t="str">
        <f aca="false">IF(OR(N100="",$N$7=0),"",N100/$N$7)</f>
        <v/>
      </c>
    </row>
    <row r="101" customFormat="false" ht="15" hidden="false" customHeight="false" outlineLevel="0" collapsed="false">
      <c r="A101" s="28" t="str">
        <f aca="false">IFERROR(INDEX(_Segéd!$G$2:$G$793,MATCH(50,_Segéd!$H$2:$H$793,0)),"")</f>
        <v>Ünnepek, ajándékok</v>
      </c>
      <c r="B101" s="29" t="n">
        <f aca="false">IF($A101="","",SUMIF(Január!$A$31:$A$116,$A101,Január!$B$31:$B$116))</f>
        <v>0</v>
      </c>
      <c r="C101" s="29" t="n">
        <f aca="false">IF($A101="","",SUMIF(Február!$A$31:$A$116,$A101,Február!$B$31:$B$116))</f>
        <v>0</v>
      </c>
      <c r="D101" s="29" t="n">
        <f aca="false">IF($A101="","",SUMIF(Március!$A$31:$A$116,$A101,Március!$B$31:$B$116))</f>
        <v>0</v>
      </c>
      <c r="E101" s="29" t="n">
        <f aca="false">IF($A101="","",SUMIF(Április!$A$31:$A$116,$A101,Április!$B$31:$B$116))</f>
        <v>0</v>
      </c>
      <c r="F101" s="29" t="n">
        <f aca="false">IF($A101="","",SUMIF(Május!$A$31:$A$116,$A101,Május!$B$31:$B$116))</f>
        <v>0</v>
      </c>
      <c r="G101" s="29" t="n">
        <f aca="false">IF($A101="","",SUMIF(Június!$A$31:$A$116,$A101,Június!$B$31:$B$116))</f>
        <v>0</v>
      </c>
      <c r="H101" s="29" t="n">
        <f aca="false">IF($A101="","",SUMIF(Július!$A$31:$A$116,$A101,Július!$B$31:$B$116))</f>
        <v>0</v>
      </c>
      <c r="I101" s="29" t="n">
        <f aca="false">IF($A101="","",SUMIF(Augusztus!$A$31:$A$116,$A101,Augusztus!$B$31:$B$116))</f>
        <v>0</v>
      </c>
      <c r="J101" s="29" t="n">
        <f aca="false">IF($A101="","",SUMIF(Szeptember!$A$31:$A$116,$A101,Szeptember!$B$31:$B$116))</f>
        <v>0</v>
      </c>
      <c r="K101" s="29" t="n">
        <f aca="false">IF($A101="","",SUMIF(Október!$A$31:$A$116,$A101,Október!$B$31:$B$116))</f>
        <v>0</v>
      </c>
      <c r="L101" s="29" t="n">
        <f aca="false">IF($A101="","",SUMIF(November!$A$31:$A$116,$A101,November!$B$31:$B$116))</f>
        <v>0</v>
      </c>
      <c r="M101" s="29" t="n">
        <f aca="false">IF($A101="","",SUMIF(December!$A$31:$A$116,$A101,December!$B$31:$B$116))</f>
        <v>0</v>
      </c>
      <c r="N101" s="15" t="n">
        <f aca="false">IF($A101="","",SUM(B101:M101))</f>
        <v>0</v>
      </c>
      <c r="O101" s="25" t="n">
        <f aca="false">IF($A101="","",N101/MAX(1,$Q$1))</f>
        <v>0</v>
      </c>
      <c r="P101" s="30" t="str">
        <f aca="false">IF(OR(N101="",$N$7=0),"",N101/$N$7)</f>
        <v/>
      </c>
    </row>
    <row r="102" customFormat="false" ht="15" hidden="false" customHeight="false" outlineLevel="0" collapsed="false">
      <c r="A102" s="28" t="str">
        <f aca="false">IFERROR(INDEX(_Segéd!$G$2:$G$793,MATCH(51,_Segéd!$H$2:$H$793,0)),"")</f>
        <v>Egyéb kiadás</v>
      </c>
      <c r="B102" s="29" t="n">
        <f aca="false">IF($A102="","",SUMIF(Január!$A$31:$A$116,$A102,Január!$B$31:$B$116))</f>
        <v>0</v>
      </c>
      <c r="C102" s="29" t="n">
        <f aca="false">IF($A102="","",SUMIF(Február!$A$31:$A$116,$A102,Február!$B$31:$B$116))</f>
        <v>0</v>
      </c>
      <c r="D102" s="29" t="n">
        <f aca="false">IF($A102="","",SUMIF(Március!$A$31:$A$116,$A102,Március!$B$31:$B$116))</f>
        <v>0</v>
      </c>
      <c r="E102" s="29" t="n">
        <f aca="false">IF($A102="","",SUMIF(Április!$A$31:$A$116,$A102,Április!$B$31:$B$116))</f>
        <v>0</v>
      </c>
      <c r="F102" s="29" t="n">
        <f aca="false">IF($A102="","",SUMIF(Május!$A$31:$A$116,$A102,Május!$B$31:$B$116))</f>
        <v>0</v>
      </c>
      <c r="G102" s="29" t="n">
        <f aca="false">IF($A102="","",SUMIF(Június!$A$31:$A$116,$A102,Június!$B$31:$B$116))</f>
        <v>0</v>
      </c>
      <c r="H102" s="29" t="n">
        <f aca="false">IF($A102="","",SUMIF(Július!$A$31:$A$116,$A102,Július!$B$31:$B$116))</f>
        <v>0</v>
      </c>
      <c r="I102" s="29" t="n">
        <f aca="false">IF($A102="","",SUMIF(Augusztus!$A$31:$A$116,$A102,Augusztus!$B$31:$B$116))</f>
        <v>0</v>
      </c>
      <c r="J102" s="29" t="n">
        <f aca="false">IF($A102="","",SUMIF(Szeptember!$A$31:$A$116,$A102,Szeptember!$B$31:$B$116))</f>
        <v>0</v>
      </c>
      <c r="K102" s="29" t="n">
        <f aca="false">IF($A102="","",SUMIF(Október!$A$31:$A$116,$A102,Október!$B$31:$B$116))</f>
        <v>0</v>
      </c>
      <c r="L102" s="29" t="n">
        <f aca="false">IF($A102="","",SUMIF(November!$A$31:$A$116,$A102,November!$B$31:$B$116))</f>
        <v>0</v>
      </c>
      <c r="M102" s="29" t="n">
        <f aca="false">IF($A102="","",SUMIF(December!$A$31:$A$116,$A102,December!$B$31:$B$116))</f>
        <v>0</v>
      </c>
      <c r="N102" s="15" t="n">
        <f aca="false">IF($A102="","",SUM(B102:M102))</f>
        <v>0</v>
      </c>
      <c r="O102" s="25" t="n">
        <f aca="false">IF($A102="","",N102/MAX(1,$Q$1))</f>
        <v>0</v>
      </c>
      <c r="P102" s="30" t="str">
        <f aca="false">IF(OR(N102="",$N$7=0),"",N102/$N$7)</f>
        <v/>
      </c>
    </row>
    <row r="103" customFormat="false" ht="15" hidden="false" customHeight="false" outlineLevel="0" collapsed="false">
      <c r="A103" s="28" t="str">
        <f aca="false">IFERROR(INDEX(_Segéd!$G$2:$G$793,MATCH(52,_Segéd!$H$2:$H$793,0)),"")</f>
        <v/>
      </c>
      <c r="B103" s="29" t="str">
        <f aca="false">IF($A103="","",SUMIF(Január!$A$31:$A$116,$A103,Január!$B$31:$B$116))</f>
        <v/>
      </c>
      <c r="C103" s="29" t="str">
        <f aca="false">IF($A103="","",SUMIF(Február!$A$31:$A$116,$A103,Február!$B$31:$B$116))</f>
        <v/>
      </c>
      <c r="D103" s="29" t="str">
        <f aca="false">IF($A103="","",SUMIF(Március!$A$31:$A$116,$A103,Március!$B$31:$B$116))</f>
        <v/>
      </c>
      <c r="E103" s="29" t="str">
        <f aca="false">IF($A103="","",SUMIF(Április!$A$31:$A$116,$A103,Április!$B$31:$B$116))</f>
        <v/>
      </c>
      <c r="F103" s="29" t="str">
        <f aca="false">IF($A103="","",SUMIF(Május!$A$31:$A$116,$A103,Május!$B$31:$B$116))</f>
        <v/>
      </c>
      <c r="G103" s="29" t="str">
        <f aca="false">IF($A103="","",SUMIF(Június!$A$31:$A$116,$A103,Június!$B$31:$B$116))</f>
        <v/>
      </c>
      <c r="H103" s="29" t="str">
        <f aca="false">IF($A103="","",SUMIF(Július!$A$31:$A$116,$A103,Július!$B$31:$B$116))</f>
        <v/>
      </c>
      <c r="I103" s="29" t="str">
        <f aca="false">IF($A103="","",SUMIF(Augusztus!$A$31:$A$116,$A103,Augusztus!$B$31:$B$116))</f>
        <v/>
      </c>
      <c r="J103" s="29" t="str">
        <f aca="false">IF($A103="","",SUMIF(Szeptember!$A$31:$A$116,$A103,Szeptember!$B$31:$B$116))</f>
        <v/>
      </c>
      <c r="K103" s="29" t="str">
        <f aca="false">IF($A103="","",SUMIF(Október!$A$31:$A$116,$A103,Október!$B$31:$B$116))</f>
        <v/>
      </c>
      <c r="L103" s="29" t="str">
        <f aca="false">IF($A103="","",SUMIF(November!$A$31:$A$116,$A103,November!$B$31:$B$116))</f>
        <v/>
      </c>
      <c r="M103" s="29" t="str">
        <f aca="false">IF($A103="","",SUMIF(December!$A$31:$A$116,$A103,December!$B$31:$B$116))</f>
        <v/>
      </c>
      <c r="N103" s="15" t="str">
        <f aca="false">IF($A103="","",SUM(B103:M103))</f>
        <v/>
      </c>
      <c r="O103" s="25" t="str">
        <f aca="false">IF($A103="","",N103/MAX(1,$Q$1))</f>
        <v/>
      </c>
      <c r="P103" s="30" t="str">
        <f aca="false">IF(OR(N103="",$N$7=0),"",N103/$N$7)</f>
        <v/>
      </c>
    </row>
    <row r="104" customFormat="false" ht="15" hidden="false" customHeight="false" outlineLevel="0" collapsed="false">
      <c r="A104" s="28" t="str">
        <f aca="false">IFERROR(INDEX(_Segéd!$G$2:$G$793,MATCH(53,_Segéd!$H$2:$H$793,0)),"")</f>
        <v/>
      </c>
      <c r="B104" s="29" t="str">
        <f aca="false">IF($A104="","",SUMIF(Január!$A$31:$A$116,$A104,Január!$B$31:$B$116))</f>
        <v/>
      </c>
      <c r="C104" s="29" t="str">
        <f aca="false">IF($A104="","",SUMIF(Február!$A$31:$A$116,$A104,Február!$B$31:$B$116))</f>
        <v/>
      </c>
      <c r="D104" s="29" t="str">
        <f aca="false">IF($A104="","",SUMIF(Március!$A$31:$A$116,$A104,Március!$B$31:$B$116))</f>
        <v/>
      </c>
      <c r="E104" s="29" t="str">
        <f aca="false">IF($A104="","",SUMIF(Április!$A$31:$A$116,$A104,Április!$B$31:$B$116))</f>
        <v/>
      </c>
      <c r="F104" s="29" t="str">
        <f aca="false">IF($A104="","",SUMIF(Május!$A$31:$A$116,$A104,Május!$B$31:$B$116))</f>
        <v/>
      </c>
      <c r="G104" s="29" t="str">
        <f aca="false">IF($A104="","",SUMIF(Június!$A$31:$A$116,$A104,Június!$B$31:$B$116))</f>
        <v/>
      </c>
      <c r="H104" s="29" t="str">
        <f aca="false">IF($A104="","",SUMIF(Július!$A$31:$A$116,$A104,Július!$B$31:$B$116))</f>
        <v/>
      </c>
      <c r="I104" s="29" t="str">
        <f aca="false">IF($A104="","",SUMIF(Augusztus!$A$31:$A$116,$A104,Augusztus!$B$31:$B$116))</f>
        <v/>
      </c>
      <c r="J104" s="29" t="str">
        <f aca="false">IF($A104="","",SUMIF(Szeptember!$A$31:$A$116,$A104,Szeptember!$B$31:$B$116))</f>
        <v/>
      </c>
      <c r="K104" s="29" t="str">
        <f aca="false">IF($A104="","",SUMIF(Október!$A$31:$A$116,$A104,Október!$B$31:$B$116))</f>
        <v/>
      </c>
      <c r="L104" s="29" t="str">
        <f aca="false">IF($A104="","",SUMIF(November!$A$31:$A$116,$A104,November!$B$31:$B$116))</f>
        <v/>
      </c>
      <c r="M104" s="29" t="str">
        <f aca="false">IF($A104="","",SUMIF(December!$A$31:$A$116,$A104,December!$B$31:$B$116))</f>
        <v/>
      </c>
      <c r="N104" s="15" t="str">
        <f aca="false">IF($A104="","",SUM(B104:M104))</f>
        <v/>
      </c>
      <c r="O104" s="25" t="str">
        <f aca="false">IF($A104="","",N104/MAX(1,$Q$1))</f>
        <v/>
      </c>
      <c r="P104" s="30" t="str">
        <f aca="false">IF(OR(N104="",$N$7=0),"",N104/$N$7)</f>
        <v/>
      </c>
    </row>
    <row r="105" customFormat="false" ht="15" hidden="false" customHeight="false" outlineLevel="0" collapsed="false">
      <c r="A105" s="28" t="str">
        <f aca="false">IFERROR(INDEX(_Segéd!$G$2:$G$793,MATCH(54,_Segéd!$H$2:$H$793,0)),"")</f>
        <v/>
      </c>
      <c r="B105" s="29" t="str">
        <f aca="false">IF($A105="","",SUMIF(Január!$A$31:$A$116,$A105,Január!$B$31:$B$116))</f>
        <v/>
      </c>
      <c r="C105" s="29" t="str">
        <f aca="false">IF($A105="","",SUMIF(Február!$A$31:$A$116,$A105,Február!$B$31:$B$116))</f>
        <v/>
      </c>
      <c r="D105" s="29" t="str">
        <f aca="false">IF($A105="","",SUMIF(Március!$A$31:$A$116,$A105,Március!$B$31:$B$116))</f>
        <v/>
      </c>
      <c r="E105" s="29" t="str">
        <f aca="false">IF($A105="","",SUMIF(Április!$A$31:$A$116,$A105,Április!$B$31:$B$116))</f>
        <v/>
      </c>
      <c r="F105" s="29" t="str">
        <f aca="false">IF($A105="","",SUMIF(Május!$A$31:$A$116,$A105,Május!$B$31:$B$116))</f>
        <v/>
      </c>
      <c r="G105" s="29" t="str">
        <f aca="false">IF($A105="","",SUMIF(Június!$A$31:$A$116,$A105,Június!$B$31:$B$116))</f>
        <v/>
      </c>
      <c r="H105" s="29" t="str">
        <f aca="false">IF($A105="","",SUMIF(Július!$A$31:$A$116,$A105,Július!$B$31:$B$116))</f>
        <v/>
      </c>
      <c r="I105" s="29" t="str">
        <f aca="false">IF($A105="","",SUMIF(Augusztus!$A$31:$A$116,$A105,Augusztus!$B$31:$B$116))</f>
        <v/>
      </c>
      <c r="J105" s="29" t="str">
        <f aca="false">IF($A105="","",SUMIF(Szeptember!$A$31:$A$116,$A105,Szeptember!$B$31:$B$116))</f>
        <v/>
      </c>
      <c r="K105" s="29" t="str">
        <f aca="false">IF($A105="","",SUMIF(Október!$A$31:$A$116,$A105,Október!$B$31:$B$116))</f>
        <v/>
      </c>
      <c r="L105" s="29" t="str">
        <f aca="false">IF($A105="","",SUMIF(November!$A$31:$A$116,$A105,November!$B$31:$B$116))</f>
        <v/>
      </c>
      <c r="M105" s="29" t="str">
        <f aca="false">IF($A105="","",SUMIF(December!$A$31:$A$116,$A105,December!$B$31:$B$116))</f>
        <v/>
      </c>
      <c r="N105" s="15" t="str">
        <f aca="false">IF($A105="","",SUM(B105:M105))</f>
        <v/>
      </c>
      <c r="O105" s="25" t="str">
        <f aca="false">IF($A105="","",N105/MAX(1,$Q$1))</f>
        <v/>
      </c>
      <c r="P105" s="30" t="str">
        <f aca="false">IF(OR(N105="",$N$7=0),"",N105/$N$7)</f>
        <v/>
      </c>
    </row>
    <row r="106" customFormat="false" ht="15" hidden="false" customHeight="false" outlineLevel="0" collapsed="false">
      <c r="A106" s="28" t="str">
        <f aca="false">IFERROR(INDEX(_Segéd!$G$2:$G$793,MATCH(55,_Segéd!$H$2:$H$793,0)),"")</f>
        <v/>
      </c>
      <c r="B106" s="29" t="str">
        <f aca="false">IF($A106="","",SUMIF(Január!$A$31:$A$116,$A106,Január!$B$31:$B$116))</f>
        <v/>
      </c>
      <c r="C106" s="29" t="str">
        <f aca="false">IF($A106="","",SUMIF(Február!$A$31:$A$116,$A106,Február!$B$31:$B$116))</f>
        <v/>
      </c>
      <c r="D106" s="29" t="str">
        <f aca="false">IF($A106="","",SUMIF(Március!$A$31:$A$116,$A106,Március!$B$31:$B$116))</f>
        <v/>
      </c>
      <c r="E106" s="29" t="str">
        <f aca="false">IF($A106="","",SUMIF(Április!$A$31:$A$116,$A106,Április!$B$31:$B$116))</f>
        <v/>
      </c>
      <c r="F106" s="29" t="str">
        <f aca="false">IF($A106="","",SUMIF(Május!$A$31:$A$116,$A106,Május!$B$31:$B$116))</f>
        <v/>
      </c>
      <c r="G106" s="29" t="str">
        <f aca="false">IF($A106="","",SUMIF(Június!$A$31:$A$116,$A106,Június!$B$31:$B$116))</f>
        <v/>
      </c>
      <c r="H106" s="29" t="str">
        <f aca="false">IF($A106="","",SUMIF(Július!$A$31:$A$116,$A106,Július!$B$31:$B$116))</f>
        <v/>
      </c>
      <c r="I106" s="29" t="str">
        <f aca="false">IF($A106="","",SUMIF(Augusztus!$A$31:$A$116,$A106,Augusztus!$B$31:$B$116))</f>
        <v/>
      </c>
      <c r="J106" s="29" t="str">
        <f aca="false">IF($A106="","",SUMIF(Szeptember!$A$31:$A$116,$A106,Szeptember!$B$31:$B$116))</f>
        <v/>
      </c>
      <c r="K106" s="29" t="str">
        <f aca="false">IF($A106="","",SUMIF(Október!$A$31:$A$116,$A106,Október!$B$31:$B$116))</f>
        <v/>
      </c>
      <c r="L106" s="29" t="str">
        <f aca="false">IF($A106="","",SUMIF(November!$A$31:$A$116,$A106,November!$B$31:$B$116))</f>
        <v/>
      </c>
      <c r="M106" s="29" t="str">
        <f aca="false">IF($A106="","",SUMIF(December!$A$31:$A$116,$A106,December!$B$31:$B$116))</f>
        <v/>
      </c>
      <c r="N106" s="15" t="str">
        <f aca="false">IF($A106="","",SUM(B106:M106))</f>
        <v/>
      </c>
      <c r="O106" s="25" t="str">
        <f aca="false">IF($A106="","",N106/MAX(1,$Q$1))</f>
        <v/>
      </c>
      <c r="P106" s="30" t="str">
        <f aca="false">IF(OR(N106="",$N$7=0),"",N106/$N$7)</f>
        <v/>
      </c>
    </row>
    <row r="107" customFormat="false" ht="15" hidden="false" customHeight="false" outlineLevel="0" collapsed="false">
      <c r="A107" s="28" t="str">
        <f aca="false">IFERROR(INDEX(_Segéd!$G$2:$G$793,MATCH(56,_Segéd!$H$2:$H$793,0)),"")</f>
        <v/>
      </c>
      <c r="B107" s="29" t="str">
        <f aca="false">IF($A107="","",SUMIF(Január!$A$31:$A$116,$A107,Január!$B$31:$B$116))</f>
        <v/>
      </c>
      <c r="C107" s="29" t="str">
        <f aca="false">IF($A107="","",SUMIF(Február!$A$31:$A$116,$A107,Február!$B$31:$B$116))</f>
        <v/>
      </c>
      <c r="D107" s="29" t="str">
        <f aca="false">IF($A107="","",SUMIF(Március!$A$31:$A$116,$A107,Március!$B$31:$B$116))</f>
        <v/>
      </c>
      <c r="E107" s="29" t="str">
        <f aca="false">IF($A107="","",SUMIF(Április!$A$31:$A$116,$A107,Április!$B$31:$B$116))</f>
        <v/>
      </c>
      <c r="F107" s="29" t="str">
        <f aca="false">IF($A107="","",SUMIF(Május!$A$31:$A$116,$A107,Május!$B$31:$B$116))</f>
        <v/>
      </c>
      <c r="G107" s="29" t="str">
        <f aca="false">IF($A107="","",SUMIF(Június!$A$31:$A$116,$A107,Június!$B$31:$B$116))</f>
        <v/>
      </c>
      <c r="H107" s="29" t="str">
        <f aca="false">IF($A107="","",SUMIF(Július!$A$31:$A$116,$A107,Július!$B$31:$B$116))</f>
        <v/>
      </c>
      <c r="I107" s="29" t="str">
        <f aca="false">IF($A107="","",SUMIF(Augusztus!$A$31:$A$116,$A107,Augusztus!$B$31:$B$116))</f>
        <v/>
      </c>
      <c r="J107" s="29" t="str">
        <f aca="false">IF($A107="","",SUMIF(Szeptember!$A$31:$A$116,$A107,Szeptember!$B$31:$B$116))</f>
        <v/>
      </c>
      <c r="K107" s="29" t="str">
        <f aca="false">IF($A107="","",SUMIF(Október!$A$31:$A$116,$A107,Október!$B$31:$B$116))</f>
        <v/>
      </c>
      <c r="L107" s="29" t="str">
        <f aca="false">IF($A107="","",SUMIF(November!$A$31:$A$116,$A107,November!$B$31:$B$116))</f>
        <v/>
      </c>
      <c r="M107" s="29" t="str">
        <f aca="false">IF($A107="","",SUMIF(December!$A$31:$A$116,$A107,December!$B$31:$B$116))</f>
        <v/>
      </c>
      <c r="N107" s="15" t="str">
        <f aca="false">IF($A107="","",SUM(B107:M107))</f>
        <v/>
      </c>
      <c r="O107" s="25" t="str">
        <f aca="false">IF($A107="","",N107/MAX(1,$Q$1))</f>
        <v/>
      </c>
      <c r="P107" s="30" t="str">
        <f aca="false">IF(OR(N107="",$N$7=0),"",N107/$N$7)</f>
        <v/>
      </c>
    </row>
    <row r="108" customFormat="false" ht="15" hidden="false" customHeight="false" outlineLevel="0" collapsed="false">
      <c r="A108" s="28" t="str">
        <f aca="false">IFERROR(INDEX(_Segéd!$G$2:$G$793,MATCH(57,_Segéd!$H$2:$H$793,0)),"")</f>
        <v/>
      </c>
      <c r="B108" s="29" t="str">
        <f aca="false">IF($A108="","",SUMIF(Január!$A$31:$A$116,$A108,Január!$B$31:$B$116))</f>
        <v/>
      </c>
      <c r="C108" s="29" t="str">
        <f aca="false">IF($A108="","",SUMIF(Február!$A$31:$A$116,$A108,Február!$B$31:$B$116))</f>
        <v/>
      </c>
      <c r="D108" s="29" t="str">
        <f aca="false">IF($A108="","",SUMIF(Március!$A$31:$A$116,$A108,Március!$B$31:$B$116))</f>
        <v/>
      </c>
      <c r="E108" s="29" t="str">
        <f aca="false">IF($A108="","",SUMIF(Április!$A$31:$A$116,$A108,Április!$B$31:$B$116))</f>
        <v/>
      </c>
      <c r="F108" s="29" t="str">
        <f aca="false">IF($A108="","",SUMIF(Május!$A$31:$A$116,$A108,Május!$B$31:$B$116))</f>
        <v/>
      </c>
      <c r="G108" s="29" t="str">
        <f aca="false">IF($A108="","",SUMIF(Június!$A$31:$A$116,$A108,Június!$B$31:$B$116))</f>
        <v/>
      </c>
      <c r="H108" s="29" t="str">
        <f aca="false">IF($A108="","",SUMIF(Július!$A$31:$A$116,$A108,Július!$B$31:$B$116))</f>
        <v/>
      </c>
      <c r="I108" s="29" t="str">
        <f aca="false">IF($A108="","",SUMIF(Augusztus!$A$31:$A$116,$A108,Augusztus!$B$31:$B$116))</f>
        <v/>
      </c>
      <c r="J108" s="29" t="str">
        <f aca="false">IF($A108="","",SUMIF(Szeptember!$A$31:$A$116,$A108,Szeptember!$B$31:$B$116))</f>
        <v/>
      </c>
      <c r="K108" s="29" t="str">
        <f aca="false">IF($A108="","",SUMIF(Október!$A$31:$A$116,$A108,Október!$B$31:$B$116))</f>
        <v/>
      </c>
      <c r="L108" s="29" t="str">
        <f aca="false">IF($A108="","",SUMIF(November!$A$31:$A$116,$A108,November!$B$31:$B$116))</f>
        <v/>
      </c>
      <c r="M108" s="29" t="str">
        <f aca="false">IF($A108="","",SUMIF(December!$A$31:$A$116,$A108,December!$B$31:$B$116))</f>
        <v/>
      </c>
      <c r="N108" s="15" t="str">
        <f aca="false">IF($A108="","",SUM(B108:M108))</f>
        <v/>
      </c>
      <c r="O108" s="25" t="str">
        <f aca="false">IF($A108="","",N108/MAX(1,$Q$1))</f>
        <v/>
      </c>
      <c r="P108" s="30" t="str">
        <f aca="false">IF(OR(N108="",$N$7=0),"",N108/$N$7)</f>
        <v/>
      </c>
    </row>
    <row r="109" customFormat="false" ht="15" hidden="false" customHeight="false" outlineLevel="0" collapsed="false">
      <c r="A109" s="28" t="str">
        <f aca="false">IFERROR(INDEX(_Segéd!$G$2:$G$793,MATCH(58,_Segéd!$H$2:$H$793,0)),"")</f>
        <v/>
      </c>
      <c r="B109" s="29" t="str">
        <f aca="false">IF($A109="","",SUMIF(Január!$A$31:$A$116,$A109,Január!$B$31:$B$116))</f>
        <v/>
      </c>
      <c r="C109" s="29" t="str">
        <f aca="false">IF($A109="","",SUMIF(Február!$A$31:$A$116,$A109,Február!$B$31:$B$116))</f>
        <v/>
      </c>
      <c r="D109" s="29" t="str">
        <f aca="false">IF($A109="","",SUMIF(Március!$A$31:$A$116,$A109,Március!$B$31:$B$116))</f>
        <v/>
      </c>
      <c r="E109" s="29" t="str">
        <f aca="false">IF($A109="","",SUMIF(Április!$A$31:$A$116,$A109,Április!$B$31:$B$116))</f>
        <v/>
      </c>
      <c r="F109" s="29" t="str">
        <f aca="false">IF($A109="","",SUMIF(Május!$A$31:$A$116,$A109,Május!$B$31:$B$116))</f>
        <v/>
      </c>
      <c r="G109" s="29" t="str">
        <f aca="false">IF($A109="","",SUMIF(Június!$A$31:$A$116,$A109,Június!$B$31:$B$116))</f>
        <v/>
      </c>
      <c r="H109" s="29" t="str">
        <f aca="false">IF($A109="","",SUMIF(Július!$A$31:$A$116,$A109,Július!$B$31:$B$116))</f>
        <v/>
      </c>
      <c r="I109" s="29" t="str">
        <f aca="false">IF($A109="","",SUMIF(Augusztus!$A$31:$A$116,$A109,Augusztus!$B$31:$B$116))</f>
        <v/>
      </c>
      <c r="J109" s="29" t="str">
        <f aca="false">IF($A109="","",SUMIF(Szeptember!$A$31:$A$116,$A109,Szeptember!$B$31:$B$116))</f>
        <v/>
      </c>
      <c r="K109" s="29" t="str">
        <f aca="false">IF($A109="","",SUMIF(Október!$A$31:$A$116,$A109,Október!$B$31:$B$116))</f>
        <v/>
      </c>
      <c r="L109" s="29" t="str">
        <f aca="false">IF($A109="","",SUMIF(November!$A$31:$A$116,$A109,November!$B$31:$B$116))</f>
        <v/>
      </c>
      <c r="M109" s="29" t="str">
        <f aca="false">IF($A109="","",SUMIF(December!$A$31:$A$116,$A109,December!$B$31:$B$116))</f>
        <v/>
      </c>
      <c r="N109" s="15" t="str">
        <f aca="false">IF($A109="","",SUM(B109:M109))</f>
        <v/>
      </c>
      <c r="O109" s="25" t="str">
        <f aca="false">IF($A109="","",N109/MAX(1,$Q$1))</f>
        <v/>
      </c>
      <c r="P109" s="30" t="str">
        <f aca="false">IF(OR(N109="",$N$7=0),"",N109/$N$7)</f>
        <v/>
      </c>
    </row>
    <row r="110" customFormat="false" ht="15" hidden="false" customHeight="false" outlineLevel="0" collapsed="false">
      <c r="A110" s="28" t="str">
        <f aca="false">IFERROR(INDEX(_Segéd!$G$2:$G$793,MATCH(59,_Segéd!$H$2:$H$793,0)),"")</f>
        <v/>
      </c>
      <c r="B110" s="29" t="str">
        <f aca="false">IF($A110="","",SUMIF(Január!$A$31:$A$116,$A110,Január!$B$31:$B$116))</f>
        <v/>
      </c>
      <c r="C110" s="29" t="str">
        <f aca="false">IF($A110="","",SUMIF(Február!$A$31:$A$116,$A110,Február!$B$31:$B$116))</f>
        <v/>
      </c>
      <c r="D110" s="29" t="str">
        <f aca="false">IF($A110="","",SUMIF(Március!$A$31:$A$116,$A110,Március!$B$31:$B$116))</f>
        <v/>
      </c>
      <c r="E110" s="29" t="str">
        <f aca="false">IF($A110="","",SUMIF(Április!$A$31:$A$116,$A110,Április!$B$31:$B$116))</f>
        <v/>
      </c>
      <c r="F110" s="29" t="str">
        <f aca="false">IF($A110="","",SUMIF(Május!$A$31:$A$116,$A110,Május!$B$31:$B$116))</f>
        <v/>
      </c>
      <c r="G110" s="29" t="str">
        <f aca="false">IF($A110="","",SUMIF(Június!$A$31:$A$116,$A110,Június!$B$31:$B$116))</f>
        <v/>
      </c>
      <c r="H110" s="29" t="str">
        <f aca="false">IF($A110="","",SUMIF(Július!$A$31:$A$116,$A110,Július!$B$31:$B$116))</f>
        <v/>
      </c>
      <c r="I110" s="29" t="str">
        <f aca="false">IF($A110="","",SUMIF(Augusztus!$A$31:$A$116,$A110,Augusztus!$B$31:$B$116))</f>
        <v/>
      </c>
      <c r="J110" s="29" t="str">
        <f aca="false">IF($A110="","",SUMIF(Szeptember!$A$31:$A$116,$A110,Szeptember!$B$31:$B$116))</f>
        <v/>
      </c>
      <c r="K110" s="29" t="str">
        <f aca="false">IF($A110="","",SUMIF(Október!$A$31:$A$116,$A110,Október!$B$31:$B$116))</f>
        <v/>
      </c>
      <c r="L110" s="29" t="str">
        <f aca="false">IF($A110="","",SUMIF(November!$A$31:$A$116,$A110,November!$B$31:$B$116))</f>
        <v/>
      </c>
      <c r="M110" s="29" t="str">
        <f aca="false">IF($A110="","",SUMIF(December!$A$31:$A$116,$A110,December!$B$31:$B$116))</f>
        <v/>
      </c>
      <c r="N110" s="15" t="str">
        <f aca="false">IF($A110="","",SUM(B110:M110))</f>
        <v/>
      </c>
      <c r="O110" s="25" t="str">
        <f aca="false">IF($A110="","",N110/MAX(1,$Q$1))</f>
        <v/>
      </c>
      <c r="P110" s="30" t="str">
        <f aca="false">IF(OR(N110="",$N$7=0),"",N110/$N$7)</f>
        <v/>
      </c>
    </row>
    <row r="111" customFormat="false" ht="15" hidden="false" customHeight="false" outlineLevel="0" collapsed="false">
      <c r="A111" s="28" t="str">
        <f aca="false">IFERROR(INDEX(_Segéd!$G$2:$G$793,MATCH(60,_Segéd!$H$2:$H$793,0)),"")</f>
        <v/>
      </c>
      <c r="B111" s="29" t="str">
        <f aca="false">IF($A111="","",SUMIF(Január!$A$31:$A$116,$A111,Január!$B$31:$B$116))</f>
        <v/>
      </c>
      <c r="C111" s="29" t="str">
        <f aca="false">IF($A111="","",SUMIF(Február!$A$31:$A$116,$A111,Február!$B$31:$B$116))</f>
        <v/>
      </c>
      <c r="D111" s="29" t="str">
        <f aca="false">IF($A111="","",SUMIF(Március!$A$31:$A$116,$A111,Március!$B$31:$B$116))</f>
        <v/>
      </c>
      <c r="E111" s="29" t="str">
        <f aca="false">IF($A111="","",SUMIF(Április!$A$31:$A$116,$A111,Április!$B$31:$B$116))</f>
        <v/>
      </c>
      <c r="F111" s="29" t="str">
        <f aca="false">IF($A111="","",SUMIF(Május!$A$31:$A$116,$A111,Május!$B$31:$B$116))</f>
        <v/>
      </c>
      <c r="G111" s="29" t="str">
        <f aca="false">IF($A111="","",SUMIF(Június!$A$31:$A$116,$A111,Június!$B$31:$B$116))</f>
        <v/>
      </c>
      <c r="H111" s="29" t="str">
        <f aca="false">IF($A111="","",SUMIF(Július!$A$31:$A$116,$A111,Július!$B$31:$B$116))</f>
        <v/>
      </c>
      <c r="I111" s="29" t="str">
        <f aca="false">IF($A111="","",SUMIF(Augusztus!$A$31:$A$116,$A111,Augusztus!$B$31:$B$116))</f>
        <v/>
      </c>
      <c r="J111" s="29" t="str">
        <f aca="false">IF($A111="","",SUMIF(Szeptember!$A$31:$A$116,$A111,Szeptember!$B$31:$B$116))</f>
        <v/>
      </c>
      <c r="K111" s="29" t="str">
        <f aca="false">IF($A111="","",SUMIF(Október!$A$31:$A$116,$A111,Október!$B$31:$B$116))</f>
        <v/>
      </c>
      <c r="L111" s="29" t="str">
        <f aca="false">IF($A111="","",SUMIF(November!$A$31:$A$116,$A111,November!$B$31:$B$116))</f>
        <v/>
      </c>
      <c r="M111" s="29" t="str">
        <f aca="false">IF($A111="","",SUMIF(December!$A$31:$A$116,$A111,December!$B$31:$B$116))</f>
        <v/>
      </c>
      <c r="N111" s="15" t="str">
        <f aca="false">IF($A111="","",SUM(B111:M111))</f>
        <v/>
      </c>
      <c r="O111" s="25" t="str">
        <f aca="false">IF($A111="","",N111/MAX(1,$Q$1))</f>
        <v/>
      </c>
      <c r="P111" s="30" t="str">
        <f aca="false">IF(OR(N111="",$N$7=0),"",N111/$N$7)</f>
        <v/>
      </c>
    </row>
    <row r="112" customFormat="false" ht="15" hidden="false" customHeight="false" outlineLevel="0" collapsed="false">
      <c r="A112" s="28" t="str">
        <f aca="false">IFERROR(INDEX(_Segéd!$G$2:$G$793,MATCH(61,_Segéd!$H$2:$H$793,0)),"")</f>
        <v/>
      </c>
      <c r="B112" s="29" t="str">
        <f aca="false">IF($A112="","",SUMIF(Január!$A$31:$A$116,$A112,Január!$B$31:$B$116))</f>
        <v/>
      </c>
      <c r="C112" s="29" t="str">
        <f aca="false">IF($A112="","",SUMIF(Február!$A$31:$A$116,$A112,Február!$B$31:$B$116))</f>
        <v/>
      </c>
      <c r="D112" s="29" t="str">
        <f aca="false">IF($A112="","",SUMIF(Március!$A$31:$A$116,$A112,Március!$B$31:$B$116))</f>
        <v/>
      </c>
      <c r="E112" s="29" t="str">
        <f aca="false">IF($A112="","",SUMIF(Április!$A$31:$A$116,$A112,Április!$B$31:$B$116))</f>
        <v/>
      </c>
      <c r="F112" s="29" t="str">
        <f aca="false">IF($A112="","",SUMIF(Május!$A$31:$A$116,$A112,Május!$B$31:$B$116))</f>
        <v/>
      </c>
      <c r="G112" s="29" t="str">
        <f aca="false">IF($A112="","",SUMIF(Június!$A$31:$A$116,$A112,Június!$B$31:$B$116))</f>
        <v/>
      </c>
      <c r="H112" s="29" t="str">
        <f aca="false">IF($A112="","",SUMIF(Július!$A$31:$A$116,$A112,Július!$B$31:$B$116))</f>
        <v/>
      </c>
      <c r="I112" s="29" t="str">
        <f aca="false">IF($A112="","",SUMIF(Augusztus!$A$31:$A$116,$A112,Augusztus!$B$31:$B$116))</f>
        <v/>
      </c>
      <c r="J112" s="29" t="str">
        <f aca="false">IF($A112="","",SUMIF(Szeptember!$A$31:$A$116,$A112,Szeptember!$B$31:$B$116))</f>
        <v/>
      </c>
      <c r="K112" s="29" t="str">
        <f aca="false">IF($A112="","",SUMIF(Október!$A$31:$A$116,$A112,Október!$B$31:$B$116))</f>
        <v/>
      </c>
      <c r="L112" s="29" t="str">
        <f aca="false">IF($A112="","",SUMIF(November!$A$31:$A$116,$A112,November!$B$31:$B$116))</f>
        <v/>
      </c>
      <c r="M112" s="29" t="str">
        <f aca="false">IF($A112="","",SUMIF(December!$A$31:$A$116,$A112,December!$B$31:$B$116))</f>
        <v/>
      </c>
      <c r="N112" s="15" t="str">
        <f aca="false">IF($A112="","",SUM(B112:M112))</f>
        <v/>
      </c>
      <c r="O112" s="25" t="str">
        <f aca="false">IF($A112="","",N112/MAX(1,$Q$1))</f>
        <v/>
      </c>
      <c r="P112" s="30" t="str">
        <f aca="false">IF(OR(N112="",$N$7=0),"",N112/$N$7)</f>
        <v/>
      </c>
    </row>
    <row r="113" customFormat="false" ht="15" hidden="false" customHeight="false" outlineLevel="0" collapsed="false">
      <c r="A113" s="28" t="str">
        <f aca="false">IFERROR(INDEX(_Segéd!$G$2:$G$793,MATCH(62,_Segéd!$H$2:$H$793,0)),"")</f>
        <v/>
      </c>
      <c r="B113" s="29" t="str">
        <f aca="false">IF($A113="","",SUMIF(Január!$A$31:$A$116,$A113,Január!$B$31:$B$116))</f>
        <v/>
      </c>
      <c r="C113" s="29" t="str">
        <f aca="false">IF($A113="","",SUMIF(Február!$A$31:$A$116,$A113,Február!$B$31:$B$116))</f>
        <v/>
      </c>
      <c r="D113" s="29" t="str">
        <f aca="false">IF($A113="","",SUMIF(Március!$A$31:$A$116,$A113,Március!$B$31:$B$116))</f>
        <v/>
      </c>
      <c r="E113" s="29" t="str">
        <f aca="false">IF($A113="","",SUMIF(Április!$A$31:$A$116,$A113,Április!$B$31:$B$116))</f>
        <v/>
      </c>
      <c r="F113" s="29" t="str">
        <f aca="false">IF($A113="","",SUMIF(Május!$A$31:$A$116,$A113,Május!$B$31:$B$116))</f>
        <v/>
      </c>
      <c r="G113" s="29" t="str">
        <f aca="false">IF($A113="","",SUMIF(Június!$A$31:$A$116,$A113,Június!$B$31:$B$116))</f>
        <v/>
      </c>
      <c r="H113" s="29" t="str">
        <f aca="false">IF($A113="","",SUMIF(Július!$A$31:$A$116,$A113,Július!$B$31:$B$116))</f>
        <v/>
      </c>
      <c r="I113" s="29" t="str">
        <f aca="false">IF($A113="","",SUMIF(Augusztus!$A$31:$A$116,$A113,Augusztus!$B$31:$B$116))</f>
        <v/>
      </c>
      <c r="J113" s="29" t="str">
        <f aca="false">IF($A113="","",SUMIF(Szeptember!$A$31:$A$116,$A113,Szeptember!$B$31:$B$116))</f>
        <v/>
      </c>
      <c r="K113" s="29" t="str">
        <f aca="false">IF($A113="","",SUMIF(Október!$A$31:$A$116,$A113,Október!$B$31:$B$116))</f>
        <v/>
      </c>
      <c r="L113" s="29" t="str">
        <f aca="false">IF($A113="","",SUMIF(November!$A$31:$A$116,$A113,November!$B$31:$B$116))</f>
        <v/>
      </c>
      <c r="M113" s="29" t="str">
        <f aca="false">IF($A113="","",SUMIF(December!$A$31:$A$116,$A113,December!$B$31:$B$116))</f>
        <v/>
      </c>
      <c r="N113" s="15" t="str">
        <f aca="false">IF($A113="","",SUM(B113:M113))</f>
        <v/>
      </c>
      <c r="O113" s="25" t="str">
        <f aca="false">IF($A113="","",N113/MAX(1,$Q$1))</f>
        <v/>
      </c>
      <c r="P113" s="30" t="str">
        <f aca="false">IF(OR(N113="",$N$7=0),"",N113/$N$7)</f>
        <v/>
      </c>
    </row>
    <row r="114" customFormat="false" ht="15" hidden="false" customHeight="false" outlineLevel="0" collapsed="false">
      <c r="A114" s="28" t="str">
        <f aca="false">IFERROR(INDEX(_Segéd!$G$2:$G$793,MATCH(63,_Segéd!$H$2:$H$793,0)),"")</f>
        <v/>
      </c>
      <c r="B114" s="29" t="str">
        <f aca="false">IF($A114="","",SUMIF(Január!$A$31:$A$116,$A114,Január!$B$31:$B$116))</f>
        <v/>
      </c>
      <c r="C114" s="29" t="str">
        <f aca="false">IF($A114="","",SUMIF(Február!$A$31:$A$116,$A114,Február!$B$31:$B$116))</f>
        <v/>
      </c>
      <c r="D114" s="29" t="str">
        <f aca="false">IF($A114="","",SUMIF(Március!$A$31:$A$116,$A114,Március!$B$31:$B$116))</f>
        <v/>
      </c>
      <c r="E114" s="29" t="str">
        <f aca="false">IF($A114="","",SUMIF(Április!$A$31:$A$116,$A114,Április!$B$31:$B$116))</f>
        <v/>
      </c>
      <c r="F114" s="29" t="str">
        <f aca="false">IF($A114="","",SUMIF(Május!$A$31:$A$116,$A114,Május!$B$31:$B$116))</f>
        <v/>
      </c>
      <c r="G114" s="29" t="str">
        <f aca="false">IF($A114="","",SUMIF(Június!$A$31:$A$116,$A114,Június!$B$31:$B$116))</f>
        <v/>
      </c>
      <c r="H114" s="29" t="str">
        <f aca="false">IF($A114="","",SUMIF(Július!$A$31:$A$116,$A114,Július!$B$31:$B$116))</f>
        <v/>
      </c>
      <c r="I114" s="29" t="str">
        <f aca="false">IF($A114="","",SUMIF(Augusztus!$A$31:$A$116,$A114,Augusztus!$B$31:$B$116))</f>
        <v/>
      </c>
      <c r="J114" s="29" t="str">
        <f aca="false">IF($A114="","",SUMIF(Szeptember!$A$31:$A$116,$A114,Szeptember!$B$31:$B$116))</f>
        <v/>
      </c>
      <c r="K114" s="29" t="str">
        <f aca="false">IF($A114="","",SUMIF(Október!$A$31:$A$116,$A114,Október!$B$31:$B$116))</f>
        <v/>
      </c>
      <c r="L114" s="29" t="str">
        <f aca="false">IF($A114="","",SUMIF(November!$A$31:$A$116,$A114,November!$B$31:$B$116))</f>
        <v/>
      </c>
      <c r="M114" s="29" t="str">
        <f aca="false">IF($A114="","",SUMIF(December!$A$31:$A$116,$A114,December!$B$31:$B$116))</f>
        <v/>
      </c>
      <c r="N114" s="15" t="str">
        <f aca="false">IF($A114="","",SUM(B114:M114))</f>
        <v/>
      </c>
      <c r="O114" s="25" t="str">
        <f aca="false">IF($A114="","",N114/MAX(1,$Q$1))</f>
        <v/>
      </c>
      <c r="P114" s="30" t="str">
        <f aca="false">IF(OR(N114="",$N$7=0),"",N114/$N$7)</f>
        <v/>
      </c>
    </row>
    <row r="115" customFormat="false" ht="15" hidden="false" customHeight="false" outlineLevel="0" collapsed="false">
      <c r="A115" s="28" t="str">
        <f aca="false">IFERROR(INDEX(_Segéd!$G$2:$G$793,MATCH(64,_Segéd!$H$2:$H$793,0)),"")</f>
        <v/>
      </c>
      <c r="B115" s="29" t="str">
        <f aca="false">IF($A115="","",SUMIF(Január!$A$31:$A$116,$A115,Január!$B$31:$B$116))</f>
        <v/>
      </c>
      <c r="C115" s="29" t="str">
        <f aca="false">IF($A115="","",SUMIF(Február!$A$31:$A$116,$A115,Február!$B$31:$B$116))</f>
        <v/>
      </c>
      <c r="D115" s="29" t="str">
        <f aca="false">IF($A115="","",SUMIF(Március!$A$31:$A$116,$A115,Március!$B$31:$B$116))</f>
        <v/>
      </c>
      <c r="E115" s="29" t="str">
        <f aca="false">IF($A115="","",SUMIF(Április!$A$31:$A$116,$A115,Április!$B$31:$B$116))</f>
        <v/>
      </c>
      <c r="F115" s="29" t="str">
        <f aca="false">IF($A115="","",SUMIF(Május!$A$31:$A$116,$A115,Május!$B$31:$B$116))</f>
        <v/>
      </c>
      <c r="G115" s="29" t="str">
        <f aca="false">IF($A115="","",SUMIF(Június!$A$31:$A$116,$A115,Június!$B$31:$B$116))</f>
        <v/>
      </c>
      <c r="H115" s="29" t="str">
        <f aca="false">IF($A115="","",SUMIF(Július!$A$31:$A$116,$A115,Július!$B$31:$B$116))</f>
        <v/>
      </c>
      <c r="I115" s="29" t="str">
        <f aca="false">IF($A115="","",SUMIF(Augusztus!$A$31:$A$116,$A115,Augusztus!$B$31:$B$116))</f>
        <v/>
      </c>
      <c r="J115" s="29" t="str">
        <f aca="false">IF($A115="","",SUMIF(Szeptember!$A$31:$A$116,$A115,Szeptember!$B$31:$B$116))</f>
        <v/>
      </c>
      <c r="K115" s="29" t="str">
        <f aca="false">IF($A115="","",SUMIF(Október!$A$31:$A$116,$A115,Október!$B$31:$B$116))</f>
        <v/>
      </c>
      <c r="L115" s="29" t="str">
        <f aca="false">IF($A115="","",SUMIF(November!$A$31:$A$116,$A115,November!$B$31:$B$116))</f>
        <v/>
      </c>
      <c r="M115" s="29" t="str">
        <f aca="false">IF($A115="","",SUMIF(December!$A$31:$A$116,$A115,December!$B$31:$B$116))</f>
        <v/>
      </c>
      <c r="N115" s="15" t="str">
        <f aca="false">IF($A115="","",SUM(B115:M115))</f>
        <v/>
      </c>
      <c r="O115" s="25" t="str">
        <f aca="false">IF($A115="","",N115/MAX(1,$Q$1))</f>
        <v/>
      </c>
      <c r="P115" s="30" t="str">
        <f aca="false">IF(OR(N115="",$N$7=0),"",N115/$N$7)</f>
        <v/>
      </c>
    </row>
    <row r="116" customFormat="false" ht="15" hidden="false" customHeight="false" outlineLevel="0" collapsed="false">
      <c r="A116" s="28" t="str">
        <f aca="false">IFERROR(INDEX(_Segéd!$G$2:$G$793,MATCH(65,_Segéd!$H$2:$H$793,0)),"")</f>
        <v/>
      </c>
      <c r="B116" s="29" t="str">
        <f aca="false">IF($A116="","",SUMIF(Január!$A$31:$A$116,$A116,Január!$B$31:$B$116))</f>
        <v/>
      </c>
      <c r="C116" s="29" t="str">
        <f aca="false">IF($A116="","",SUMIF(Február!$A$31:$A$116,$A116,Február!$B$31:$B$116))</f>
        <v/>
      </c>
      <c r="D116" s="29" t="str">
        <f aca="false">IF($A116="","",SUMIF(Március!$A$31:$A$116,$A116,Március!$B$31:$B$116))</f>
        <v/>
      </c>
      <c r="E116" s="29" t="str">
        <f aca="false">IF($A116="","",SUMIF(Április!$A$31:$A$116,$A116,Április!$B$31:$B$116))</f>
        <v/>
      </c>
      <c r="F116" s="29" t="str">
        <f aca="false">IF($A116="","",SUMIF(Május!$A$31:$A$116,$A116,Május!$B$31:$B$116))</f>
        <v/>
      </c>
      <c r="G116" s="29" t="str">
        <f aca="false">IF($A116="","",SUMIF(Június!$A$31:$A$116,$A116,Június!$B$31:$B$116))</f>
        <v/>
      </c>
      <c r="H116" s="29" t="str">
        <f aca="false">IF($A116="","",SUMIF(Július!$A$31:$A$116,$A116,Július!$B$31:$B$116))</f>
        <v/>
      </c>
      <c r="I116" s="29" t="str">
        <f aca="false">IF($A116="","",SUMIF(Augusztus!$A$31:$A$116,$A116,Augusztus!$B$31:$B$116))</f>
        <v/>
      </c>
      <c r="J116" s="29" t="str">
        <f aca="false">IF($A116="","",SUMIF(Szeptember!$A$31:$A$116,$A116,Szeptember!$B$31:$B$116))</f>
        <v/>
      </c>
      <c r="K116" s="29" t="str">
        <f aca="false">IF($A116="","",SUMIF(Október!$A$31:$A$116,$A116,Október!$B$31:$B$116))</f>
        <v/>
      </c>
      <c r="L116" s="29" t="str">
        <f aca="false">IF($A116="","",SUMIF(November!$A$31:$A$116,$A116,November!$B$31:$B$116))</f>
        <v/>
      </c>
      <c r="M116" s="29" t="str">
        <f aca="false">IF($A116="","",SUMIF(December!$A$31:$A$116,$A116,December!$B$31:$B$116))</f>
        <v/>
      </c>
      <c r="N116" s="15" t="str">
        <f aca="false">IF($A116="","",SUM(B116:M116))</f>
        <v/>
      </c>
      <c r="O116" s="25" t="str">
        <f aca="false">IF($A116="","",N116/MAX(1,$Q$1))</f>
        <v/>
      </c>
      <c r="P116" s="30" t="str">
        <f aca="false">IF(OR(N116="",$N$7=0),"",N116/$N$7)</f>
        <v/>
      </c>
    </row>
    <row r="117" customFormat="false" ht="15" hidden="false" customHeight="false" outlineLevel="0" collapsed="false">
      <c r="A117" s="28" t="str">
        <f aca="false">IFERROR(INDEX(_Segéd!$G$2:$G$793,MATCH(66,_Segéd!$H$2:$H$793,0)),"")</f>
        <v/>
      </c>
      <c r="B117" s="29" t="str">
        <f aca="false">IF($A117="","",SUMIF(Január!$A$31:$A$116,$A117,Január!$B$31:$B$116))</f>
        <v/>
      </c>
      <c r="C117" s="29" t="str">
        <f aca="false">IF($A117="","",SUMIF(Február!$A$31:$A$116,$A117,Február!$B$31:$B$116))</f>
        <v/>
      </c>
      <c r="D117" s="29" t="str">
        <f aca="false">IF($A117="","",SUMIF(Március!$A$31:$A$116,$A117,Március!$B$31:$B$116))</f>
        <v/>
      </c>
      <c r="E117" s="29" t="str">
        <f aca="false">IF($A117="","",SUMIF(Április!$A$31:$A$116,$A117,Április!$B$31:$B$116))</f>
        <v/>
      </c>
      <c r="F117" s="29" t="str">
        <f aca="false">IF($A117="","",SUMIF(Május!$A$31:$A$116,$A117,Május!$B$31:$B$116))</f>
        <v/>
      </c>
      <c r="G117" s="29" t="str">
        <f aca="false">IF($A117="","",SUMIF(Június!$A$31:$A$116,$A117,Június!$B$31:$B$116))</f>
        <v/>
      </c>
      <c r="H117" s="29" t="str">
        <f aca="false">IF($A117="","",SUMIF(Július!$A$31:$A$116,$A117,Július!$B$31:$B$116))</f>
        <v/>
      </c>
      <c r="I117" s="29" t="str">
        <f aca="false">IF($A117="","",SUMIF(Augusztus!$A$31:$A$116,$A117,Augusztus!$B$31:$B$116))</f>
        <v/>
      </c>
      <c r="J117" s="29" t="str">
        <f aca="false">IF($A117="","",SUMIF(Szeptember!$A$31:$A$116,$A117,Szeptember!$B$31:$B$116))</f>
        <v/>
      </c>
      <c r="K117" s="29" t="str">
        <f aca="false">IF($A117="","",SUMIF(Október!$A$31:$A$116,$A117,Október!$B$31:$B$116))</f>
        <v/>
      </c>
      <c r="L117" s="29" t="str">
        <f aca="false">IF($A117="","",SUMIF(November!$A$31:$A$116,$A117,November!$B$31:$B$116))</f>
        <v/>
      </c>
      <c r="M117" s="29" t="str">
        <f aca="false">IF($A117="","",SUMIF(December!$A$31:$A$116,$A117,December!$B$31:$B$116))</f>
        <v/>
      </c>
      <c r="N117" s="15" t="str">
        <f aca="false">IF($A117="","",SUM(B117:M117))</f>
        <v/>
      </c>
      <c r="O117" s="25" t="str">
        <f aca="false">IF($A117="","",N117/MAX(1,$Q$1))</f>
        <v/>
      </c>
      <c r="P117" s="30" t="str">
        <f aca="false">IF(OR(N117="",$N$7=0),"",N117/$N$7)</f>
        <v/>
      </c>
    </row>
    <row r="118" customFormat="false" ht="15" hidden="false" customHeight="false" outlineLevel="0" collapsed="false">
      <c r="A118" s="28" t="str">
        <f aca="false">IFERROR(INDEX(_Segéd!$G$2:$G$793,MATCH(67,_Segéd!$H$2:$H$793,0)),"")</f>
        <v/>
      </c>
      <c r="B118" s="29" t="str">
        <f aca="false">IF($A118="","",SUMIF(Január!$A$31:$A$116,$A118,Január!$B$31:$B$116))</f>
        <v/>
      </c>
      <c r="C118" s="29" t="str">
        <f aca="false">IF($A118="","",SUMIF(Február!$A$31:$A$116,$A118,Február!$B$31:$B$116))</f>
        <v/>
      </c>
      <c r="D118" s="29" t="str">
        <f aca="false">IF($A118="","",SUMIF(Március!$A$31:$A$116,$A118,Március!$B$31:$B$116))</f>
        <v/>
      </c>
      <c r="E118" s="29" t="str">
        <f aca="false">IF($A118="","",SUMIF(Április!$A$31:$A$116,$A118,Április!$B$31:$B$116))</f>
        <v/>
      </c>
      <c r="F118" s="29" t="str">
        <f aca="false">IF($A118="","",SUMIF(Május!$A$31:$A$116,$A118,Május!$B$31:$B$116))</f>
        <v/>
      </c>
      <c r="G118" s="29" t="str">
        <f aca="false">IF($A118="","",SUMIF(Június!$A$31:$A$116,$A118,Június!$B$31:$B$116))</f>
        <v/>
      </c>
      <c r="H118" s="29" t="str">
        <f aca="false">IF($A118="","",SUMIF(Július!$A$31:$A$116,$A118,Július!$B$31:$B$116))</f>
        <v/>
      </c>
      <c r="I118" s="29" t="str">
        <f aca="false">IF($A118="","",SUMIF(Augusztus!$A$31:$A$116,$A118,Augusztus!$B$31:$B$116))</f>
        <v/>
      </c>
      <c r="J118" s="29" t="str">
        <f aca="false">IF($A118="","",SUMIF(Szeptember!$A$31:$A$116,$A118,Szeptember!$B$31:$B$116))</f>
        <v/>
      </c>
      <c r="K118" s="29" t="str">
        <f aca="false">IF($A118="","",SUMIF(Október!$A$31:$A$116,$A118,Október!$B$31:$B$116))</f>
        <v/>
      </c>
      <c r="L118" s="29" t="str">
        <f aca="false">IF($A118="","",SUMIF(November!$A$31:$A$116,$A118,November!$B$31:$B$116))</f>
        <v/>
      </c>
      <c r="M118" s="29" t="str">
        <f aca="false">IF($A118="","",SUMIF(December!$A$31:$A$116,$A118,December!$B$31:$B$116))</f>
        <v/>
      </c>
      <c r="N118" s="15" t="str">
        <f aca="false">IF($A118="","",SUM(B118:M118))</f>
        <v/>
      </c>
      <c r="O118" s="25" t="str">
        <f aca="false">IF($A118="","",N118/MAX(1,$Q$1))</f>
        <v/>
      </c>
      <c r="P118" s="30" t="str">
        <f aca="false">IF(OR(N118="",$N$7=0),"",N118/$N$7)</f>
        <v/>
      </c>
    </row>
    <row r="119" customFormat="false" ht="15" hidden="false" customHeight="false" outlineLevel="0" collapsed="false">
      <c r="A119" s="28" t="str">
        <f aca="false">IFERROR(INDEX(_Segéd!$G$2:$G$793,MATCH(68,_Segéd!$H$2:$H$793,0)),"")</f>
        <v/>
      </c>
      <c r="B119" s="29" t="str">
        <f aca="false">IF($A119="","",SUMIF(Január!$A$31:$A$116,$A119,Január!$B$31:$B$116))</f>
        <v/>
      </c>
      <c r="C119" s="29" t="str">
        <f aca="false">IF($A119="","",SUMIF(Február!$A$31:$A$116,$A119,Február!$B$31:$B$116))</f>
        <v/>
      </c>
      <c r="D119" s="29" t="str">
        <f aca="false">IF($A119="","",SUMIF(Március!$A$31:$A$116,$A119,Március!$B$31:$B$116))</f>
        <v/>
      </c>
      <c r="E119" s="29" t="str">
        <f aca="false">IF($A119="","",SUMIF(Április!$A$31:$A$116,$A119,Április!$B$31:$B$116))</f>
        <v/>
      </c>
      <c r="F119" s="29" t="str">
        <f aca="false">IF($A119="","",SUMIF(Május!$A$31:$A$116,$A119,Május!$B$31:$B$116))</f>
        <v/>
      </c>
      <c r="G119" s="29" t="str">
        <f aca="false">IF($A119="","",SUMIF(Június!$A$31:$A$116,$A119,Június!$B$31:$B$116))</f>
        <v/>
      </c>
      <c r="H119" s="29" t="str">
        <f aca="false">IF($A119="","",SUMIF(Július!$A$31:$A$116,$A119,Július!$B$31:$B$116))</f>
        <v/>
      </c>
      <c r="I119" s="29" t="str">
        <f aca="false">IF($A119="","",SUMIF(Augusztus!$A$31:$A$116,$A119,Augusztus!$B$31:$B$116))</f>
        <v/>
      </c>
      <c r="J119" s="29" t="str">
        <f aca="false">IF($A119="","",SUMIF(Szeptember!$A$31:$A$116,$A119,Szeptember!$B$31:$B$116))</f>
        <v/>
      </c>
      <c r="K119" s="29" t="str">
        <f aca="false">IF($A119="","",SUMIF(Október!$A$31:$A$116,$A119,Október!$B$31:$B$116))</f>
        <v/>
      </c>
      <c r="L119" s="29" t="str">
        <f aca="false">IF($A119="","",SUMIF(November!$A$31:$A$116,$A119,November!$B$31:$B$116))</f>
        <v/>
      </c>
      <c r="M119" s="29" t="str">
        <f aca="false">IF($A119="","",SUMIF(December!$A$31:$A$116,$A119,December!$B$31:$B$116))</f>
        <v/>
      </c>
      <c r="N119" s="15" t="str">
        <f aca="false">IF($A119="","",SUM(B119:M119))</f>
        <v/>
      </c>
      <c r="O119" s="25" t="str">
        <f aca="false">IF($A119="","",N119/MAX(1,$Q$1))</f>
        <v/>
      </c>
      <c r="P119" s="30" t="str">
        <f aca="false">IF(OR(N119="",$N$7=0),"",N119/$N$7)</f>
        <v/>
      </c>
    </row>
    <row r="120" customFormat="false" ht="15" hidden="false" customHeight="false" outlineLevel="0" collapsed="false">
      <c r="A120" s="28" t="str">
        <f aca="false">IFERROR(INDEX(_Segéd!$G$2:$G$793,MATCH(69,_Segéd!$H$2:$H$793,0)),"")</f>
        <v/>
      </c>
      <c r="B120" s="29" t="str">
        <f aca="false">IF($A120="","",SUMIF(Január!$A$31:$A$116,$A120,Január!$B$31:$B$116))</f>
        <v/>
      </c>
      <c r="C120" s="29" t="str">
        <f aca="false">IF($A120="","",SUMIF(Február!$A$31:$A$116,$A120,Február!$B$31:$B$116))</f>
        <v/>
      </c>
      <c r="D120" s="29" t="str">
        <f aca="false">IF($A120="","",SUMIF(Március!$A$31:$A$116,$A120,Március!$B$31:$B$116))</f>
        <v/>
      </c>
      <c r="E120" s="29" t="str">
        <f aca="false">IF($A120="","",SUMIF(Április!$A$31:$A$116,$A120,Április!$B$31:$B$116))</f>
        <v/>
      </c>
      <c r="F120" s="29" t="str">
        <f aca="false">IF($A120="","",SUMIF(Május!$A$31:$A$116,$A120,Május!$B$31:$B$116))</f>
        <v/>
      </c>
      <c r="G120" s="29" t="str">
        <f aca="false">IF($A120="","",SUMIF(Június!$A$31:$A$116,$A120,Június!$B$31:$B$116))</f>
        <v/>
      </c>
      <c r="H120" s="29" t="str">
        <f aca="false">IF($A120="","",SUMIF(Július!$A$31:$A$116,$A120,Július!$B$31:$B$116))</f>
        <v/>
      </c>
      <c r="I120" s="29" t="str">
        <f aca="false">IF($A120="","",SUMIF(Augusztus!$A$31:$A$116,$A120,Augusztus!$B$31:$B$116))</f>
        <v/>
      </c>
      <c r="J120" s="29" t="str">
        <f aca="false">IF($A120="","",SUMIF(Szeptember!$A$31:$A$116,$A120,Szeptember!$B$31:$B$116))</f>
        <v/>
      </c>
      <c r="K120" s="29" t="str">
        <f aca="false">IF($A120="","",SUMIF(Október!$A$31:$A$116,$A120,Október!$B$31:$B$116))</f>
        <v/>
      </c>
      <c r="L120" s="29" t="str">
        <f aca="false">IF($A120="","",SUMIF(November!$A$31:$A$116,$A120,November!$B$31:$B$116))</f>
        <v/>
      </c>
      <c r="M120" s="29" t="str">
        <f aca="false">IF($A120="","",SUMIF(December!$A$31:$A$116,$A120,December!$B$31:$B$116))</f>
        <v/>
      </c>
      <c r="N120" s="15" t="str">
        <f aca="false">IF($A120="","",SUM(B120:M120))</f>
        <v/>
      </c>
      <c r="O120" s="25" t="str">
        <f aca="false">IF($A120="","",N120/MAX(1,$Q$1))</f>
        <v/>
      </c>
      <c r="P120" s="30" t="str">
        <f aca="false">IF(OR(N120="",$N$7=0),"",N120/$N$7)</f>
        <v/>
      </c>
    </row>
    <row r="121" customFormat="false" ht="15" hidden="false" customHeight="false" outlineLevel="0" collapsed="false">
      <c r="A121" s="28" t="str">
        <f aca="false">IFERROR(INDEX(_Segéd!$G$2:$G$793,MATCH(70,_Segéd!$H$2:$H$793,0)),"")</f>
        <v/>
      </c>
      <c r="B121" s="29" t="str">
        <f aca="false">IF($A121="","",SUMIF(Január!$A$31:$A$116,$A121,Január!$B$31:$B$116))</f>
        <v/>
      </c>
      <c r="C121" s="29" t="str">
        <f aca="false">IF($A121="","",SUMIF(Február!$A$31:$A$116,$A121,Február!$B$31:$B$116))</f>
        <v/>
      </c>
      <c r="D121" s="29" t="str">
        <f aca="false">IF($A121="","",SUMIF(Március!$A$31:$A$116,$A121,Március!$B$31:$B$116))</f>
        <v/>
      </c>
      <c r="E121" s="29" t="str">
        <f aca="false">IF($A121="","",SUMIF(Április!$A$31:$A$116,$A121,Április!$B$31:$B$116))</f>
        <v/>
      </c>
      <c r="F121" s="29" t="str">
        <f aca="false">IF($A121="","",SUMIF(Május!$A$31:$A$116,$A121,Május!$B$31:$B$116))</f>
        <v/>
      </c>
      <c r="G121" s="29" t="str">
        <f aca="false">IF($A121="","",SUMIF(Június!$A$31:$A$116,$A121,Június!$B$31:$B$116))</f>
        <v/>
      </c>
      <c r="H121" s="29" t="str">
        <f aca="false">IF($A121="","",SUMIF(Július!$A$31:$A$116,$A121,Július!$B$31:$B$116))</f>
        <v/>
      </c>
      <c r="I121" s="29" t="str">
        <f aca="false">IF($A121="","",SUMIF(Augusztus!$A$31:$A$116,$A121,Augusztus!$B$31:$B$116))</f>
        <v/>
      </c>
      <c r="J121" s="29" t="str">
        <f aca="false">IF($A121="","",SUMIF(Szeptember!$A$31:$A$116,$A121,Szeptember!$B$31:$B$116))</f>
        <v/>
      </c>
      <c r="K121" s="29" t="str">
        <f aca="false">IF($A121="","",SUMIF(Október!$A$31:$A$116,$A121,Október!$B$31:$B$116))</f>
        <v/>
      </c>
      <c r="L121" s="29" t="str">
        <f aca="false">IF($A121="","",SUMIF(November!$A$31:$A$116,$A121,November!$B$31:$B$116))</f>
        <v/>
      </c>
      <c r="M121" s="29" t="str">
        <f aca="false">IF($A121="","",SUMIF(December!$A$31:$A$116,$A121,December!$B$31:$B$116))</f>
        <v/>
      </c>
      <c r="N121" s="15" t="str">
        <f aca="false">IF($A121="","",SUM(B121:M121))</f>
        <v/>
      </c>
      <c r="O121" s="25" t="str">
        <f aca="false">IF($A121="","",N121/MAX(1,$Q$1))</f>
        <v/>
      </c>
      <c r="P121" s="30" t="str">
        <f aca="false">IF(OR(N121="",$N$7=0),"",N121/$N$7)</f>
        <v/>
      </c>
    </row>
    <row r="122" customFormat="false" ht="15" hidden="false" customHeight="false" outlineLevel="0" collapsed="false">
      <c r="A122" s="28" t="str">
        <f aca="false">IFERROR(INDEX(_Segéd!$G$2:$G$793,MATCH(71,_Segéd!$H$2:$H$793,0)),"")</f>
        <v/>
      </c>
      <c r="B122" s="29" t="str">
        <f aca="false">IF($A122="","",SUMIF(Január!$A$31:$A$116,$A122,Január!$B$31:$B$116))</f>
        <v/>
      </c>
      <c r="C122" s="29" t="str">
        <f aca="false">IF($A122="","",SUMIF(Február!$A$31:$A$116,$A122,Február!$B$31:$B$116))</f>
        <v/>
      </c>
      <c r="D122" s="29" t="str">
        <f aca="false">IF($A122="","",SUMIF(Március!$A$31:$A$116,$A122,Március!$B$31:$B$116))</f>
        <v/>
      </c>
      <c r="E122" s="29" t="str">
        <f aca="false">IF($A122="","",SUMIF(Április!$A$31:$A$116,$A122,Április!$B$31:$B$116))</f>
        <v/>
      </c>
      <c r="F122" s="29" t="str">
        <f aca="false">IF($A122="","",SUMIF(Május!$A$31:$A$116,$A122,Május!$B$31:$B$116))</f>
        <v/>
      </c>
      <c r="G122" s="29" t="str">
        <f aca="false">IF($A122="","",SUMIF(Június!$A$31:$A$116,$A122,Június!$B$31:$B$116))</f>
        <v/>
      </c>
      <c r="H122" s="29" t="str">
        <f aca="false">IF($A122="","",SUMIF(Július!$A$31:$A$116,$A122,Július!$B$31:$B$116))</f>
        <v/>
      </c>
      <c r="I122" s="29" t="str">
        <f aca="false">IF($A122="","",SUMIF(Augusztus!$A$31:$A$116,$A122,Augusztus!$B$31:$B$116))</f>
        <v/>
      </c>
      <c r="J122" s="29" t="str">
        <f aca="false">IF($A122="","",SUMIF(Szeptember!$A$31:$A$116,$A122,Szeptember!$B$31:$B$116))</f>
        <v/>
      </c>
      <c r="K122" s="29" t="str">
        <f aca="false">IF($A122="","",SUMIF(Október!$A$31:$A$116,$A122,Október!$B$31:$B$116))</f>
        <v/>
      </c>
      <c r="L122" s="29" t="str">
        <f aca="false">IF($A122="","",SUMIF(November!$A$31:$A$116,$A122,November!$B$31:$B$116))</f>
        <v/>
      </c>
      <c r="M122" s="29" t="str">
        <f aca="false">IF($A122="","",SUMIF(December!$A$31:$A$116,$A122,December!$B$31:$B$116))</f>
        <v/>
      </c>
      <c r="N122" s="15" t="str">
        <f aca="false">IF($A122="","",SUM(B122:M122))</f>
        <v/>
      </c>
      <c r="O122" s="25" t="str">
        <f aca="false">IF($A122="","",N122/MAX(1,$Q$1))</f>
        <v/>
      </c>
      <c r="P122" s="30" t="str">
        <f aca="false">IF(OR(N122="",$N$7=0),"",N122/$N$7)</f>
        <v/>
      </c>
    </row>
    <row r="123" customFormat="false" ht="15" hidden="false" customHeight="false" outlineLevel="0" collapsed="false">
      <c r="A123" s="28" t="str">
        <f aca="false">IFERROR(INDEX(_Segéd!$G$2:$G$793,MATCH(72,_Segéd!$H$2:$H$793,0)),"")</f>
        <v/>
      </c>
      <c r="B123" s="29" t="str">
        <f aca="false">IF($A123="","",SUMIF(Január!$A$31:$A$116,$A123,Január!$B$31:$B$116))</f>
        <v/>
      </c>
      <c r="C123" s="29" t="str">
        <f aca="false">IF($A123="","",SUMIF(Február!$A$31:$A$116,$A123,Február!$B$31:$B$116))</f>
        <v/>
      </c>
      <c r="D123" s="29" t="str">
        <f aca="false">IF($A123="","",SUMIF(Március!$A$31:$A$116,$A123,Március!$B$31:$B$116))</f>
        <v/>
      </c>
      <c r="E123" s="29" t="str">
        <f aca="false">IF($A123="","",SUMIF(Április!$A$31:$A$116,$A123,Április!$B$31:$B$116))</f>
        <v/>
      </c>
      <c r="F123" s="29" t="str">
        <f aca="false">IF($A123="","",SUMIF(Május!$A$31:$A$116,$A123,Május!$B$31:$B$116))</f>
        <v/>
      </c>
      <c r="G123" s="29" t="str">
        <f aca="false">IF($A123="","",SUMIF(Június!$A$31:$A$116,$A123,Június!$B$31:$B$116))</f>
        <v/>
      </c>
      <c r="H123" s="29" t="str">
        <f aca="false">IF($A123="","",SUMIF(Július!$A$31:$A$116,$A123,Július!$B$31:$B$116))</f>
        <v/>
      </c>
      <c r="I123" s="29" t="str">
        <f aca="false">IF($A123="","",SUMIF(Augusztus!$A$31:$A$116,$A123,Augusztus!$B$31:$B$116))</f>
        <v/>
      </c>
      <c r="J123" s="29" t="str">
        <f aca="false">IF($A123="","",SUMIF(Szeptember!$A$31:$A$116,$A123,Szeptember!$B$31:$B$116))</f>
        <v/>
      </c>
      <c r="K123" s="29" t="str">
        <f aca="false">IF($A123="","",SUMIF(Október!$A$31:$A$116,$A123,Október!$B$31:$B$116))</f>
        <v/>
      </c>
      <c r="L123" s="29" t="str">
        <f aca="false">IF($A123="","",SUMIF(November!$A$31:$A$116,$A123,November!$B$31:$B$116))</f>
        <v/>
      </c>
      <c r="M123" s="29" t="str">
        <f aca="false">IF($A123="","",SUMIF(December!$A$31:$A$116,$A123,December!$B$31:$B$116))</f>
        <v/>
      </c>
      <c r="N123" s="15" t="str">
        <f aca="false">IF($A123="","",SUM(B123:M123))</f>
        <v/>
      </c>
      <c r="O123" s="25" t="str">
        <f aca="false">IF($A123="","",N123/MAX(1,$Q$1))</f>
        <v/>
      </c>
      <c r="P123" s="30" t="str">
        <f aca="false">IF(OR(N123="",$N$7=0),"",N123/$N$7)</f>
        <v/>
      </c>
    </row>
    <row r="124" customFormat="false" ht="15" hidden="false" customHeight="false" outlineLevel="0" collapsed="false">
      <c r="A124" s="28" t="str">
        <f aca="false">IFERROR(INDEX(_Segéd!$G$2:$G$793,MATCH(73,_Segéd!$H$2:$H$793,0)),"")</f>
        <v/>
      </c>
      <c r="B124" s="29" t="str">
        <f aca="false">IF($A124="","",SUMIF(Január!$A$31:$A$116,$A124,Január!$B$31:$B$116))</f>
        <v/>
      </c>
      <c r="C124" s="29" t="str">
        <f aca="false">IF($A124="","",SUMIF(Február!$A$31:$A$116,$A124,Február!$B$31:$B$116))</f>
        <v/>
      </c>
      <c r="D124" s="29" t="str">
        <f aca="false">IF($A124="","",SUMIF(Március!$A$31:$A$116,$A124,Március!$B$31:$B$116))</f>
        <v/>
      </c>
      <c r="E124" s="29" t="str">
        <f aca="false">IF($A124="","",SUMIF(Április!$A$31:$A$116,$A124,Április!$B$31:$B$116))</f>
        <v/>
      </c>
      <c r="F124" s="29" t="str">
        <f aca="false">IF($A124="","",SUMIF(Május!$A$31:$A$116,$A124,Május!$B$31:$B$116))</f>
        <v/>
      </c>
      <c r="G124" s="29" t="str">
        <f aca="false">IF($A124="","",SUMIF(Június!$A$31:$A$116,$A124,Június!$B$31:$B$116))</f>
        <v/>
      </c>
      <c r="H124" s="29" t="str">
        <f aca="false">IF($A124="","",SUMIF(Július!$A$31:$A$116,$A124,Július!$B$31:$B$116))</f>
        <v/>
      </c>
      <c r="I124" s="29" t="str">
        <f aca="false">IF($A124="","",SUMIF(Augusztus!$A$31:$A$116,$A124,Augusztus!$B$31:$B$116))</f>
        <v/>
      </c>
      <c r="J124" s="29" t="str">
        <f aca="false">IF($A124="","",SUMIF(Szeptember!$A$31:$A$116,$A124,Szeptember!$B$31:$B$116))</f>
        <v/>
      </c>
      <c r="K124" s="29" t="str">
        <f aca="false">IF($A124="","",SUMIF(Október!$A$31:$A$116,$A124,Október!$B$31:$B$116))</f>
        <v/>
      </c>
      <c r="L124" s="29" t="str">
        <f aca="false">IF($A124="","",SUMIF(November!$A$31:$A$116,$A124,November!$B$31:$B$116))</f>
        <v/>
      </c>
      <c r="M124" s="29" t="str">
        <f aca="false">IF($A124="","",SUMIF(December!$A$31:$A$116,$A124,December!$B$31:$B$116))</f>
        <v/>
      </c>
      <c r="N124" s="15" t="str">
        <f aca="false">IF($A124="","",SUM(B124:M124))</f>
        <v/>
      </c>
      <c r="O124" s="25" t="str">
        <f aca="false">IF($A124="","",N124/MAX(1,$Q$1))</f>
        <v/>
      </c>
      <c r="P124" s="30" t="str">
        <f aca="false">IF(OR(N124="",$N$7=0),"",N124/$N$7)</f>
        <v/>
      </c>
    </row>
    <row r="125" customFormat="false" ht="15" hidden="false" customHeight="false" outlineLevel="0" collapsed="false">
      <c r="A125" s="28" t="str">
        <f aca="false">IFERROR(INDEX(_Segéd!$G$2:$G$793,MATCH(74,_Segéd!$H$2:$H$793,0)),"")</f>
        <v/>
      </c>
      <c r="B125" s="29" t="str">
        <f aca="false">IF($A125="","",SUMIF(Január!$A$31:$A$116,$A125,Január!$B$31:$B$116))</f>
        <v/>
      </c>
      <c r="C125" s="29" t="str">
        <f aca="false">IF($A125="","",SUMIF(Február!$A$31:$A$116,$A125,Február!$B$31:$B$116))</f>
        <v/>
      </c>
      <c r="D125" s="29" t="str">
        <f aca="false">IF($A125="","",SUMIF(Március!$A$31:$A$116,$A125,Március!$B$31:$B$116))</f>
        <v/>
      </c>
      <c r="E125" s="29" t="str">
        <f aca="false">IF($A125="","",SUMIF(Április!$A$31:$A$116,$A125,Április!$B$31:$B$116))</f>
        <v/>
      </c>
      <c r="F125" s="29" t="str">
        <f aca="false">IF($A125="","",SUMIF(Május!$A$31:$A$116,$A125,Május!$B$31:$B$116))</f>
        <v/>
      </c>
      <c r="G125" s="29" t="str">
        <f aca="false">IF($A125="","",SUMIF(Június!$A$31:$A$116,$A125,Június!$B$31:$B$116))</f>
        <v/>
      </c>
      <c r="H125" s="29" t="str">
        <f aca="false">IF($A125="","",SUMIF(Július!$A$31:$A$116,$A125,Július!$B$31:$B$116))</f>
        <v/>
      </c>
      <c r="I125" s="29" t="str">
        <f aca="false">IF($A125="","",SUMIF(Augusztus!$A$31:$A$116,$A125,Augusztus!$B$31:$B$116))</f>
        <v/>
      </c>
      <c r="J125" s="29" t="str">
        <f aca="false">IF($A125="","",SUMIF(Szeptember!$A$31:$A$116,$A125,Szeptember!$B$31:$B$116))</f>
        <v/>
      </c>
      <c r="K125" s="29" t="str">
        <f aca="false">IF($A125="","",SUMIF(Október!$A$31:$A$116,$A125,Október!$B$31:$B$116))</f>
        <v/>
      </c>
      <c r="L125" s="29" t="str">
        <f aca="false">IF($A125="","",SUMIF(November!$A$31:$A$116,$A125,November!$B$31:$B$116))</f>
        <v/>
      </c>
      <c r="M125" s="29" t="str">
        <f aca="false">IF($A125="","",SUMIF(December!$A$31:$A$116,$A125,December!$B$31:$B$116))</f>
        <v/>
      </c>
      <c r="N125" s="15" t="str">
        <f aca="false">IF($A125="","",SUM(B125:M125))</f>
        <v/>
      </c>
      <c r="O125" s="25" t="str">
        <f aca="false">IF($A125="","",N125/MAX(1,$Q$1))</f>
        <v/>
      </c>
      <c r="P125" s="30" t="str">
        <f aca="false">IF(OR(N125="",$N$7=0),"",N125/$N$7)</f>
        <v/>
      </c>
    </row>
    <row r="127" customFormat="false" ht="15" hidden="false" customHeight="false" outlineLevel="0" collapsed="false">
      <c r="A127" s="36" t="s">
        <v>55</v>
      </c>
    </row>
  </sheetData>
  <conditionalFormatting sqref="B8:O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7" t="str">
        <f aca="false">" 💰 HAVI KÖLTSÉGVETÉS — "&amp;UPPER("Január")&amp;" "&amp;'📊 Éves Összesítő'!$B$2</f>
        <v> 💰 HAVI KÖLTSÉGVETÉS — JANUÁR 2026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37" t="s">
        <v>56</v>
      </c>
      <c r="B2" s="38" t="s">
        <v>57</v>
      </c>
      <c r="C2" s="38" t="s">
        <v>58</v>
      </c>
      <c r="D2" s="38" t="s">
        <v>59</v>
      </c>
      <c r="E2" s="38" t="s">
        <v>60</v>
      </c>
      <c r="F2" s="38" t="s">
        <v>33</v>
      </c>
    </row>
    <row r="3" customFormat="false" ht="18" hidden="false" customHeight="true" outlineLevel="0" collapsed="false">
      <c r="A3" s="26" t="s">
        <v>61</v>
      </c>
      <c r="B3" s="26"/>
      <c r="C3" s="26"/>
      <c r="D3" s="26"/>
      <c r="E3" s="26"/>
      <c r="F3" s="26"/>
    </row>
    <row r="4" customFormat="false" ht="15" hidden="false" customHeight="false" outlineLevel="0" collapsed="false">
      <c r="A4" s="39" t="s">
        <v>62</v>
      </c>
      <c r="B4" s="40"/>
      <c r="C4" s="40"/>
      <c r="D4" s="40"/>
      <c r="E4" s="40"/>
      <c r="F4" s="40"/>
    </row>
    <row r="5" customFormat="false" ht="15" hidden="false" customHeight="false" outlineLevel="0" collapsed="false">
      <c r="A5" s="41" t="s">
        <v>63</v>
      </c>
      <c r="B5" s="42"/>
      <c r="C5" s="25"/>
      <c r="D5" s="42"/>
      <c r="E5" s="25" t="str">
        <f aca="false">IF(D5=0,"",B5-D5)</f>
        <v/>
      </c>
      <c r="F5" s="30" t="str">
        <f aca="false">IF(OR($C$16=0,B5=""),"",B5/$C$16)</f>
        <v/>
      </c>
    </row>
    <row r="6" customFormat="false" ht="15" hidden="false" customHeight="false" outlineLevel="0" collapsed="false">
      <c r="A6" s="41" t="s">
        <v>64</v>
      </c>
      <c r="B6" s="42"/>
      <c r="C6" s="25"/>
      <c r="D6" s="42"/>
      <c r="E6" s="25" t="str">
        <f aca="false">IF(D6=0,"",B6-D6)</f>
        <v/>
      </c>
      <c r="F6" s="30" t="str">
        <f aca="false">IF(OR($C$16=0,B6=""),"",B6/$C$16)</f>
        <v/>
      </c>
    </row>
    <row r="7" customFormat="false" ht="15" hidden="false" customHeight="false" outlineLevel="0" collapsed="false">
      <c r="A7" s="41" t="s">
        <v>65</v>
      </c>
      <c r="B7" s="42"/>
      <c r="C7" s="25"/>
      <c r="D7" s="42"/>
      <c r="E7" s="25" t="str">
        <f aca="false">IF(D7=0,"",B7-D7)</f>
        <v/>
      </c>
      <c r="F7" s="30" t="str">
        <f aca="false">IF(OR($C$16=0,B7=""),"",B7/$C$16)</f>
        <v/>
      </c>
    </row>
    <row r="8" customFormat="false" ht="15" hidden="false" customHeight="false" outlineLevel="0" collapsed="false">
      <c r="A8" s="41"/>
      <c r="B8" s="42"/>
      <c r="C8" s="25"/>
      <c r="D8" s="42"/>
      <c r="E8" s="25" t="str">
        <f aca="false">IF(D8=0,"",B8-D8)</f>
        <v/>
      </c>
      <c r="F8" s="30" t="str">
        <f aca="false">IF(OR($C$16=0,B8=""),"",B8/$C$16)</f>
        <v/>
      </c>
    </row>
    <row r="9" customFormat="false" ht="15" hidden="false" customHeight="false" outlineLevel="0" collapsed="false">
      <c r="A9" s="43" t="s">
        <v>66</v>
      </c>
      <c r="B9" s="35"/>
      <c r="C9" s="44" t="n">
        <f aca="false">SUM(B5:B8)</f>
        <v>0</v>
      </c>
      <c r="D9" s="44" t="n">
        <f aca="false">SUM(D5:D8)</f>
        <v>0</v>
      </c>
      <c r="E9" s="44" t="str">
        <f aca="false">IF(D9=0,"",C9-D9)</f>
        <v/>
      </c>
      <c r="F9" s="45" t="str">
        <f aca="false">IF(OR($C$16=0,C9=""),"",C9/$C$16)</f>
        <v/>
      </c>
    </row>
    <row r="10" customFormat="false" ht="15" hidden="false" customHeight="false" outlineLevel="0" collapsed="false">
      <c r="A10" s="39" t="s">
        <v>67</v>
      </c>
      <c r="B10" s="40"/>
      <c r="C10" s="40"/>
      <c r="D10" s="40"/>
      <c r="E10" s="40"/>
      <c r="F10" s="40"/>
    </row>
    <row r="11" customFormat="false" ht="15" hidden="false" customHeight="false" outlineLevel="0" collapsed="false">
      <c r="A11" s="41" t="s">
        <v>68</v>
      </c>
      <c r="B11" s="42"/>
      <c r="C11" s="25"/>
      <c r="D11" s="42"/>
      <c r="E11" s="25" t="str">
        <f aca="false">IF(D11=0,"",B11-D11)</f>
        <v/>
      </c>
      <c r="F11" s="30" t="str">
        <f aca="false">IF(OR($C$16=0,B11=""),"",B11/$C$16)</f>
        <v/>
      </c>
    </row>
    <row r="12" customFormat="false" ht="15" hidden="false" customHeight="false" outlineLevel="0" collapsed="false">
      <c r="A12" s="41" t="s">
        <v>69</v>
      </c>
      <c r="B12" s="42"/>
      <c r="C12" s="25"/>
      <c r="D12" s="42"/>
      <c r="E12" s="25" t="str">
        <f aca="false">IF(D12=0,"",B12-D12)</f>
        <v/>
      </c>
      <c r="F12" s="30" t="str">
        <f aca="false">IF(OR($C$16=0,B12=""),"",B12/$C$16)</f>
        <v/>
      </c>
    </row>
    <row r="13" customFormat="false" ht="15" hidden="false" customHeight="false" outlineLevel="0" collapsed="false">
      <c r="A13" s="41" t="s">
        <v>70</v>
      </c>
      <c r="B13" s="42"/>
      <c r="C13" s="25"/>
      <c r="D13" s="42"/>
      <c r="E13" s="25" t="str">
        <f aca="false">IF(D13=0,"",B13-D13)</f>
        <v/>
      </c>
      <c r="F13" s="30" t="str">
        <f aca="false">IF(OR($C$16=0,B13=""),"",B13/$C$16)</f>
        <v/>
      </c>
    </row>
    <row r="14" customFormat="false" ht="15" hidden="false" customHeight="false" outlineLevel="0" collapsed="false">
      <c r="A14" s="41"/>
      <c r="B14" s="42"/>
      <c r="C14" s="25"/>
      <c r="D14" s="42"/>
      <c r="E14" s="25" t="str">
        <f aca="false">IF(D14=0,"",B14-D14)</f>
        <v/>
      </c>
      <c r="F14" s="30" t="str">
        <f aca="false">IF(OR($C$16=0,B14=""),"",B14/$C$16)</f>
        <v/>
      </c>
    </row>
    <row r="15" customFormat="false" ht="15" hidden="false" customHeight="false" outlineLevel="0" collapsed="false">
      <c r="A15" s="43" t="s">
        <v>71</v>
      </c>
      <c r="B15" s="35"/>
      <c r="C15" s="44" t="n">
        <f aca="false">SUM(B11:B14)</f>
        <v>0</v>
      </c>
      <c r="D15" s="44" t="n">
        <f aca="false">SUM(D11:D14)</f>
        <v>0</v>
      </c>
      <c r="E15" s="44" t="str">
        <f aca="false">IF(D15=0,"",C15-D15)</f>
        <v/>
      </c>
      <c r="F15" s="45" t="str">
        <f aca="false">IF(OR($C$16=0,C15=""),"",C15/$C$16)</f>
        <v/>
      </c>
    </row>
    <row r="16" customFormat="false" ht="15" hidden="false" customHeight="false" outlineLevel="0" collapsed="false">
      <c r="A16" s="26" t="s">
        <v>72</v>
      </c>
      <c r="B16" s="26"/>
      <c r="C16" s="46" t="n">
        <f aca="false">C9+C15</f>
        <v>0</v>
      </c>
      <c r="D16" s="46" t="n">
        <f aca="false">D9+D15</f>
        <v>0</v>
      </c>
      <c r="E16" s="46" t="str">
        <f aca="false">IF(D16=0,"",C16-D16)</f>
        <v/>
      </c>
      <c r="F16" s="47" t="str">
        <f aca="false">IF($C$16=0,"",1)</f>
        <v/>
      </c>
    </row>
    <row r="17" customFormat="false" ht="18" hidden="false" customHeight="true" outlineLevel="0" collapsed="false">
      <c r="A17" s="31" t="s">
        <v>73</v>
      </c>
      <c r="B17" s="31"/>
      <c r="C17" s="31"/>
      <c r="D17" s="31"/>
      <c r="E17" s="31"/>
      <c r="F17" s="31"/>
    </row>
    <row r="18" customFormat="false" ht="15" hidden="false" customHeight="false" outlineLevel="0" collapsed="false">
      <c r="A18" s="41" t="s">
        <v>74</v>
      </c>
      <c r="B18" s="42"/>
      <c r="C18" s="25"/>
      <c r="D18" s="42"/>
      <c r="E18" s="25" t="str">
        <f aca="false">IF(D18=0,"",B18-D18)</f>
        <v/>
      </c>
      <c r="F18" s="30" t="str">
        <f aca="false">IF(OR($C$28=0,B18=""),"",B18/$C$28)</f>
        <v/>
      </c>
    </row>
    <row r="19" customFormat="false" ht="15" hidden="false" customHeight="false" outlineLevel="0" collapsed="false">
      <c r="A19" s="41" t="s">
        <v>75</v>
      </c>
      <c r="B19" s="42"/>
      <c r="C19" s="25"/>
      <c r="D19" s="42"/>
      <c r="E19" s="25" t="str">
        <f aca="false">IF(D19=0,"",B19-D19)</f>
        <v/>
      </c>
      <c r="F19" s="30" t="str">
        <f aca="false">IF(OR($C$28=0,B19=""),"",B19/$C$28)</f>
        <v/>
      </c>
    </row>
    <row r="20" customFormat="false" ht="15" hidden="false" customHeight="false" outlineLevel="0" collapsed="false">
      <c r="A20" s="41" t="s">
        <v>76</v>
      </c>
      <c r="B20" s="42"/>
      <c r="C20" s="25"/>
      <c r="D20" s="42"/>
      <c r="E20" s="25" t="str">
        <f aca="false">IF(D20=0,"",B20-D20)</f>
        <v/>
      </c>
      <c r="F20" s="30" t="str">
        <f aca="false">IF(OR($C$28=0,B20=""),"",B20/$C$28)</f>
        <v/>
      </c>
    </row>
    <row r="21" customFormat="false" ht="15" hidden="false" customHeight="false" outlineLevel="0" collapsed="false">
      <c r="A21" s="41" t="s">
        <v>77</v>
      </c>
      <c r="B21" s="42"/>
      <c r="C21" s="25"/>
      <c r="D21" s="42"/>
      <c r="E21" s="25" t="str">
        <f aca="false">IF(D21=0,"",B21-D21)</f>
        <v/>
      </c>
      <c r="F21" s="30" t="str">
        <f aca="false">IF(OR($C$28=0,B21=""),"",B21/$C$28)</f>
        <v/>
      </c>
    </row>
    <row r="22" customFormat="false" ht="15" hidden="false" customHeight="false" outlineLevel="0" collapsed="false">
      <c r="A22" s="41" t="s">
        <v>78</v>
      </c>
      <c r="B22" s="42"/>
      <c r="C22" s="25"/>
      <c r="D22" s="42"/>
      <c r="E22" s="25" t="str">
        <f aca="false">IF(D22=0,"",B22-D22)</f>
        <v/>
      </c>
      <c r="F22" s="30" t="str">
        <f aca="false">IF(OR($C$28=0,B22=""),"",B22/$C$28)</f>
        <v/>
      </c>
    </row>
    <row r="23" customFormat="false" ht="15" hidden="false" customHeight="false" outlineLevel="0" collapsed="false">
      <c r="A23" s="41" t="s">
        <v>79</v>
      </c>
      <c r="B23" s="42"/>
      <c r="C23" s="25"/>
      <c r="D23" s="42"/>
      <c r="E23" s="25" t="str">
        <f aca="false">IF(D23=0,"",B23-D23)</f>
        <v/>
      </c>
      <c r="F23" s="30" t="str">
        <f aca="false">IF(OR($C$28=0,B23=""),"",B23/$C$28)</f>
        <v/>
      </c>
    </row>
    <row r="24" customFormat="false" ht="15" hidden="false" customHeight="false" outlineLevel="0" collapsed="false">
      <c r="A24" s="41" t="s">
        <v>80</v>
      </c>
      <c r="B24" s="42"/>
      <c r="C24" s="25"/>
      <c r="D24" s="42"/>
      <c r="E24" s="25" t="str">
        <f aca="false">IF(D24=0,"",B24-D24)</f>
        <v/>
      </c>
      <c r="F24" s="30" t="str">
        <f aca="false">IF(OR($C$28=0,B24=""),"",B24/$C$28)</f>
        <v/>
      </c>
    </row>
    <row r="25" customFormat="false" ht="15" hidden="false" customHeight="false" outlineLevel="0" collapsed="false">
      <c r="A25" s="41" t="s">
        <v>81</v>
      </c>
      <c r="B25" s="42"/>
      <c r="C25" s="25"/>
      <c r="D25" s="42"/>
      <c r="E25" s="25" t="str">
        <f aca="false">IF(D25=0,"",B25-D25)</f>
        <v/>
      </c>
      <c r="F25" s="30" t="str">
        <f aca="false">IF(OR($C$28=0,B25=""),"",B25/$C$28)</f>
        <v/>
      </c>
    </row>
    <row r="26" customFormat="false" ht="15" hidden="false" customHeight="false" outlineLevel="0" collapsed="false">
      <c r="A26" s="41"/>
      <c r="B26" s="42"/>
      <c r="C26" s="25"/>
      <c r="D26" s="42"/>
      <c r="E26" s="25" t="str">
        <f aca="false">IF(D26=0,"",B26-D26)</f>
        <v/>
      </c>
      <c r="F26" s="30" t="str">
        <f aca="false">IF(OR($C$28=0,B26=""),"",B26/$C$28)</f>
        <v/>
      </c>
    </row>
    <row r="27" customFormat="false" ht="15" hidden="false" customHeight="false" outlineLevel="0" collapsed="false">
      <c r="A27" s="41"/>
      <c r="B27" s="42"/>
      <c r="C27" s="25"/>
      <c r="D27" s="42"/>
      <c r="E27" s="25" t="str">
        <f aca="false">IF(D27=0,"",B27-D27)</f>
        <v/>
      </c>
      <c r="F27" s="30" t="str">
        <f aca="false">IF(OR($C$28=0,B27=""),"",B27/$C$28)</f>
        <v/>
      </c>
    </row>
    <row r="28" customFormat="false" ht="15" hidden="false" customHeight="false" outlineLevel="0" collapsed="false">
      <c r="A28" s="31" t="s">
        <v>82</v>
      </c>
      <c r="B28" s="31"/>
      <c r="C28" s="48" t="n">
        <f aca="false">SUM(B18:B27)</f>
        <v>0</v>
      </c>
      <c r="D28" s="48" t="n">
        <f aca="false">SUM(D18:D27)</f>
        <v>0</v>
      </c>
      <c r="E28" s="48" t="str">
        <f aca="false">IF(D28=0,"",C28-D28)</f>
        <v/>
      </c>
      <c r="F28" s="49" t="str">
        <f aca="false">IF($C$16=0,"",C28/$C$16)</f>
        <v/>
      </c>
    </row>
    <row r="29" customFormat="false" ht="18" hidden="false" customHeight="true" outlineLevel="0" collapsed="false">
      <c r="A29" s="33" t="s">
        <v>83</v>
      </c>
      <c r="B29" s="33"/>
      <c r="C29" s="33"/>
      <c r="D29" s="33"/>
      <c r="E29" s="33"/>
      <c r="F29" s="33"/>
    </row>
    <row r="30" customFormat="false" ht="15" hidden="false" customHeight="false" outlineLevel="0" collapsed="false">
      <c r="A30" s="39" t="s">
        <v>43</v>
      </c>
      <c r="B30" s="40"/>
      <c r="C30" s="40"/>
      <c r="D30" s="40"/>
      <c r="E30" s="40"/>
      <c r="F30" s="40"/>
    </row>
    <row r="31" customFormat="false" ht="15" hidden="false" customHeight="false" outlineLevel="0" collapsed="false">
      <c r="A31" s="41" t="s">
        <v>84</v>
      </c>
      <c r="B31" s="42"/>
      <c r="C31" s="25"/>
      <c r="D31" s="42"/>
      <c r="E31" s="25" t="str">
        <f aca="false">IF(D31=0,"",D31-B31)</f>
        <v/>
      </c>
      <c r="F31" s="30" t="str">
        <f aca="false">IF(OR($C$118=0,B31=""),"",B31/$C$118)</f>
        <v/>
      </c>
    </row>
    <row r="32" customFormat="false" ht="15" hidden="false" customHeight="false" outlineLevel="0" collapsed="false">
      <c r="A32" s="41" t="s">
        <v>85</v>
      </c>
      <c r="B32" s="42"/>
      <c r="C32" s="25"/>
      <c r="D32" s="42"/>
      <c r="E32" s="25" t="str">
        <f aca="false">IF(D32=0,"",D32-B32)</f>
        <v/>
      </c>
      <c r="F32" s="30" t="str">
        <f aca="false">IF(OR($C$118=0,B32=""),"",B32/$C$118)</f>
        <v/>
      </c>
    </row>
    <row r="33" customFormat="false" ht="15" hidden="false" customHeight="false" outlineLevel="0" collapsed="false">
      <c r="A33" s="41" t="s">
        <v>86</v>
      </c>
      <c r="B33" s="42"/>
      <c r="C33" s="25"/>
      <c r="D33" s="42"/>
      <c r="E33" s="25" t="str">
        <f aca="false">IF(D33=0,"",D33-B33)</f>
        <v/>
      </c>
      <c r="F33" s="30" t="str">
        <f aca="false">IF(OR($C$118=0,B33=""),"",B33/$C$118)</f>
        <v/>
      </c>
    </row>
    <row r="34" customFormat="false" ht="15" hidden="false" customHeight="false" outlineLevel="0" collapsed="false">
      <c r="A34" s="41"/>
      <c r="B34" s="42"/>
      <c r="C34" s="25"/>
      <c r="D34" s="42"/>
      <c r="E34" s="25" t="str">
        <f aca="false">IF(D34=0,"",D34-B34)</f>
        <v/>
      </c>
      <c r="F34" s="30" t="str">
        <f aca="false">IF(OR($C$118=0,B34=""),"",B34/$C$118)</f>
        <v/>
      </c>
    </row>
    <row r="35" customFormat="false" ht="15" hidden="false" customHeight="false" outlineLevel="0" collapsed="false">
      <c r="A35" s="43" t="s">
        <v>87</v>
      </c>
      <c r="B35" s="35"/>
      <c r="C35" s="44" t="n">
        <f aca="false">SUM(B31:B34)</f>
        <v>0</v>
      </c>
      <c r="D35" s="44" t="n">
        <f aca="false">SUM(D31:D34)</f>
        <v>0</v>
      </c>
      <c r="E35" s="44" t="str">
        <f aca="false">IF(D35=0,"",D35-C35)</f>
        <v/>
      </c>
      <c r="F35" s="45" t="str">
        <f aca="false">IF(OR($C$118=0,C35=""),"",C35/$C$118)</f>
        <v/>
      </c>
    </row>
    <row r="36" customFormat="false" ht="15" hidden="false" customHeight="false" outlineLevel="0" collapsed="false">
      <c r="A36" s="39" t="s">
        <v>44</v>
      </c>
      <c r="B36" s="40"/>
      <c r="C36" s="40"/>
      <c r="D36" s="40"/>
      <c r="E36" s="40"/>
      <c r="F36" s="40"/>
    </row>
    <row r="37" customFormat="false" ht="15" hidden="false" customHeight="false" outlineLevel="0" collapsed="false">
      <c r="A37" s="41" t="s">
        <v>88</v>
      </c>
      <c r="B37" s="42"/>
      <c r="C37" s="25"/>
      <c r="D37" s="42"/>
      <c r="E37" s="25" t="str">
        <f aca="false">IF(D37=0,"",D37-B37)</f>
        <v/>
      </c>
      <c r="F37" s="30" t="str">
        <f aca="false">IF(OR($C$118=0,B37=""),"",B37/$C$118)</f>
        <v/>
      </c>
    </row>
    <row r="38" customFormat="false" ht="15" hidden="false" customHeight="false" outlineLevel="0" collapsed="false">
      <c r="A38" s="41" t="s">
        <v>89</v>
      </c>
      <c r="B38" s="42"/>
      <c r="C38" s="25"/>
      <c r="D38" s="42"/>
      <c r="E38" s="25" t="str">
        <f aca="false">IF(D38=0,"",D38-B38)</f>
        <v/>
      </c>
      <c r="F38" s="30" t="str">
        <f aca="false">IF(OR($C$118=0,B38=""),"",B38/$C$118)</f>
        <v/>
      </c>
    </row>
    <row r="39" customFormat="false" ht="15" hidden="false" customHeight="false" outlineLevel="0" collapsed="false">
      <c r="A39" s="41" t="s">
        <v>90</v>
      </c>
      <c r="B39" s="42"/>
      <c r="C39" s="25"/>
      <c r="D39" s="42"/>
      <c r="E39" s="25" t="str">
        <f aca="false">IF(D39=0,"",D39-B39)</f>
        <v/>
      </c>
      <c r="F39" s="30" t="str">
        <f aca="false">IF(OR($C$118=0,B39=""),"",B39/$C$118)</f>
        <v/>
      </c>
    </row>
    <row r="40" customFormat="false" ht="15" hidden="false" customHeight="false" outlineLevel="0" collapsed="false">
      <c r="A40" s="41" t="s">
        <v>91</v>
      </c>
      <c r="B40" s="42"/>
      <c r="C40" s="25"/>
      <c r="D40" s="42"/>
      <c r="E40" s="25" t="str">
        <f aca="false">IF(D40=0,"",D40-B40)</f>
        <v/>
      </c>
      <c r="F40" s="30" t="str">
        <f aca="false">IF(OR($C$118=0,B40=""),"",B40/$C$118)</f>
        <v/>
      </c>
    </row>
    <row r="41" customFormat="false" ht="15" hidden="false" customHeight="false" outlineLevel="0" collapsed="false">
      <c r="A41" s="41"/>
      <c r="B41" s="42"/>
      <c r="C41" s="25"/>
      <c r="D41" s="42"/>
      <c r="E41" s="25" t="str">
        <f aca="false">IF(D41=0,"",D41-B41)</f>
        <v/>
      </c>
      <c r="F41" s="30" t="str">
        <f aca="false">IF(OR($C$118=0,B41=""),"",B41/$C$118)</f>
        <v/>
      </c>
    </row>
    <row r="42" customFormat="false" ht="15" hidden="false" customHeight="false" outlineLevel="0" collapsed="false">
      <c r="A42" s="43" t="s">
        <v>92</v>
      </c>
      <c r="B42" s="35"/>
      <c r="C42" s="44" t="n">
        <f aca="false">SUM(B37:B41)</f>
        <v>0</v>
      </c>
      <c r="D42" s="44" t="n">
        <f aca="false">SUM(D37:D41)</f>
        <v>0</v>
      </c>
      <c r="E42" s="44" t="str">
        <f aca="false">IF(D42=0,"",D42-C42)</f>
        <v/>
      </c>
      <c r="F42" s="45" t="str">
        <f aca="false">IF(OR($C$118=0,C42=""),"",C42/$C$118)</f>
        <v/>
      </c>
    </row>
    <row r="43" customFormat="false" ht="15" hidden="false" customHeight="false" outlineLevel="0" collapsed="false">
      <c r="A43" s="39" t="s">
        <v>45</v>
      </c>
      <c r="B43" s="40"/>
      <c r="C43" s="40"/>
      <c r="D43" s="40"/>
      <c r="E43" s="40"/>
      <c r="F43" s="40"/>
    </row>
    <row r="44" customFormat="false" ht="15" hidden="false" customHeight="false" outlineLevel="0" collapsed="false">
      <c r="A44" s="41" t="s">
        <v>93</v>
      </c>
      <c r="B44" s="42"/>
      <c r="C44" s="25"/>
      <c r="D44" s="42"/>
      <c r="E44" s="25" t="str">
        <f aca="false">IF(D44=0,"",D44-B44)</f>
        <v/>
      </c>
      <c r="F44" s="30" t="str">
        <f aca="false">IF(OR($C$118=0,B44=""),"",B44/$C$118)</f>
        <v/>
      </c>
    </row>
    <row r="45" customFormat="false" ht="15" hidden="false" customHeight="false" outlineLevel="0" collapsed="false">
      <c r="A45" s="41" t="s">
        <v>94</v>
      </c>
      <c r="B45" s="42"/>
      <c r="C45" s="25"/>
      <c r="D45" s="42"/>
      <c r="E45" s="25" t="str">
        <f aca="false">IF(D45=0,"",D45-B45)</f>
        <v/>
      </c>
      <c r="F45" s="30" t="str">
        <f aca="false">IF(OR($C$118=0,B45=""),"",B45/$C$118)</f>
        <v/>
      </c>
    </row>
    <row r="46" customFormat="false" ht="15" hidden="false" customHeight="false" outlineLevel="0" collapsed="false">
      <c r="A46" s="41" t="s">
        <v>95</v>
      </c>
      <c r="B46" s="42"/>
      <c r="C46" s="25"/>
      <c r="D46" s="42"/>
      <c r="E46" s="25" t="str">
        <f aca="false">IF(D46=0,"",D46-B46)</f>
        <v/>
      </c>
      <c r="F46" s="30" t="str">
        <f aca="false">IF(OR($C$118=0,B46=""),"",B46/$C$118)</f>
        <v/>
      </c>
    </row>
    <row r="47" customFormat="false" ht="15" hidden="false" customHeight="false" outlineLevel="0" collapsed="false">
      <c r="A47" s="41" t="s">
        <v>96</v>
      </c>
      <c r="B47" s="42"/>
      <c r="C47" s="25"/>
      <c r="D47" s="42"/>
      <c r="E47" s="25" t="str">
        <f aca="false">IF(D47=0,"",D47-B47)</f>
        <v/>
      </c>
      <c r="F47" s="30" t="str">
        <f aca="false">IF(OR($C$118=0,B47=""),"",B47/$C$118)</f>
        <v/>
      </c>
    </row>
    <row r="48" customFormat="false" ht="15" hidden="false" customHeight="false" outlineLevel="0" collapsed="false">
      <c r="A48" s="41" t="s">
        <v>97</v>
      </c>
      <c r="B48" s="42"/>
      <c r="C48" s="25"/>
      <c r="D48" s="42"/>
      <c r="E48" s="25" t="str">
        <f aca="false">IF(D48=0,"",D48-B48)</f>
        <v/>
      </c>
      <c r="F48" s="30" t="str">
        <f aca="false">IF(OR($C$118=0,B48=""),"",B48/$C$118)</f>
        <v/>
      </c>
    </row>
    <row r="49" customFormat="false" ht="15" hidden="false" customHeight="false" outlineLevel="0" collapsed="false">
      <c r="A49" s="41" t="s">
        <v>98</v>
      </c>
      <c r="B49" s="42"/>
      <c r="C49" s="25"/>
      <c r="D49" s="42"/>
      <c r="E49" s="25" t="str">
        <f aca="false">IF(D49=0,"",D49-B49)</f>
        <v/>
      </c>
      <c r="F49" s="30" t="str">
        <f aca="false">IF(OR($C$118=0,B49=""),"",B49/$C$118)</f>
        <v/>
      </c>
    </row>
    <row r="50" customFormat="false" ht="15" hidden="false" customHeight="false" outlineLevel="0" collapsed="false">
      <c r="A50" s="41"/>
      <c r="B50" s="42"/>
      <c r="C50" s="25"/>
      <c r="D50" s="42"/>
      <c r="E50" s="25" t="str">
        <f aca="false">IF(D50=0,"",D50-B50)</f>
        <v/>
      </c>
      <c r="F50" s="30" t="str">
        <f aca="false">IF(OR($C$118=0,B50=""),"",B50/$C$118)</f>
        <v/>
      </c>
    </row>
    <row r="51" customFormat="false" ht="15" hidden="false" customHeight="false" outlineLevel="0" collapsed="false">
      <c r="A51" s="41"/>
      <c r="B51" s="42"/>
      <c r="C51" s="25"/>
      <c r="D51" s="42"/>
      <c r="E51" s="25" t="str">
        <f aca="false">IF(D51=0,"",D51-B51)</f>
        <v/>
      </c>
      <c r="F51" s="30" t="str">
        <f aca="false">IF(OR($C$118=0,B51=""),"",B51/$C$118)</f>
        <v/>
      </c>
    </row>
    <row r="52" customFormat="false" ht="15" hidden="false" customHeight="false" outlineLevel="0" collapsed="false">
      <c r="A52" s="43" t="s">
        <v>99</v>
      </c>
      <c r="B52" s="35"/>
      <c r="C52" s="44" t="n">
        <f aca="false">SUM(B44:B51)</f>
        <v>0</v>
      </c>
      <c r="D52" s="44" t="n">
        <f aca="false">SUM(D44:D51)</f>
        <v>0</v>
      </c>
      <c r="E52" s="44" t="str">
        <f aca="false">IF(D52=0,"",D52-C52)</f>
        <v/>
      </c>
      <c r="F52" s="45" t="str">
        <f aca="false">IF(OR($C$118=0,C52=""),"",C52/$C$118)</f>
        <v/>
      </c>
    </row>
    <row r="53" customFormat="false" ht="15" hidden="false" customHeight="false" outlineLevel="0" collapsed="false">
      <c r="A53" s="39" t="s">
        <v>46</v>
      </c>
      <c r="B53" s="40"/>
      <c r="C53" s="40"/>
      <c r="D53" s="40"/>
      <c r="E53" s="40"/>
      <c r="F53" s="40"/>
    </row>
    <row r="54" customFormat="false" ht="15" hidden="false" customHeight="false" outlineLevel="0" collapsed="false">
      <c r="A54" s="41" t="s">
        <v>100</v>
      </c>
      <c r="B54" s="42"/>
      <c r="C54" s="25"/>
      <c r="D54" s="42"/>
      <c r="E54" s="25" t="str">
        <f aca="false">IF(D54=0,"",D54-B54)</f>
        <v/>
      </c>
      <c r="F54" s="30" t="str">
        <f aca="false">IF(OR($C$118=0,B54=""),"",B54/$C$118)</f>
        <v/>
      </c>
    </row>
    <row r="55" customFormat="false" ht="15" hidden="false" customHeight="false" outlineLevel="0" collapsed="false">
      <c r="A55" s="41" t="s">
        <v>101</v>
      </c>
      <c r="B55" s="42"/>
      <c r="C55" s="25"/>
      <c r="D55" s="42"/>
      <c r="E55" s="25" t="str">
        <f aca="false">IF(D55=0,"",D55-B55)</f>
        <v/>
      </c>
      <c r="F55" s="30" t="str">
        <f aca="false">IF(OR($C$118=0,B55=""),"",B55/$C$118)</f>
        <v/>
      </c>
    </row>
    <row r="56" customFormat="false" ht="15" hidden="false" customHeight="false" outlineLevel="0" collapsed="false">
      <c r="A56" s="41" t="s">
        <v>102</v>
      </c>
      <c r="B56" s="42"/>
      <c r="C56" s="25"/>
      <c r="D56" s="42"/>
      <c r="E56" s="25" t="str">
        <f aca="false">IF(D56=0,"",D56-B56)</f>
        <v/>
      </c>
      <c r="F56" s="30" t="str">
        <f aca="false">IF(OR($C$118=0,B56=""),"",B56/$C$118)</f>
        <v/>
      </c>
    </row>
    <row r="57" customFormat="false" ht="15" hidden="false" customHeight="false" outlineLevel="0" collapsed="false">
      <c r="A57" s="41" t="s">
        <v>103</v>
      </c>
      <c r="B57" s="42"/>
      <c r="C57" s="25"/>
      <c r="D57" s="42"/>
      <c r="E57" s="25" t="str">
        <f aca="false">IF(D57=0,"",D57-B57)</f>
        <v/>
      </c>
      <c r="F57" s="30" t="str">
        <f aca="false">IF(OR($C$118=0,B57=""),"",B57/$C$118)</f>
        <v/>
      </c>
    </row>
    <row r="58" customFormat="false" ht="15" hidden="false" customHeight="false" outlineLevel="0" collapsed="false">
      <c r="A58" s="41" t="s">
        <v>104</v>
      </c>
      <c r="B58" s="42"/>
      <c r="C58" s="25"/>
      <c r="D58" s="42"/>
      <c r="E58" s="25" t="str">
        <f aca="false">IF(D58=0,"",D58-B58)</f>
        <v/>
      </c>
      <c r="F58" s="30" t="str">
        <f aca="false">IF(OR($C$118=0,B58=""),"",B58/$C$118)</f>
        <v/>
      </c>
    </row>
    <row r="59" customFormat="false" ht="15" hidden="false" customHeight="false" outlineLevel="0" collapsed="false">
      <c r="A59" s="41" t="s">
        <v>105</v>
      </c>
      <c r="B59" s="42"/>
      <c r="C59" s="25"/>
      <c r="D59" s="42"/>
      <c r="E59" s="25" t="str">
        <f aca="false">IF(D59=0,"",D59-B59)</f>
        <v/>
      </c>
      <c r="F59" s="30" t="str">
        <f aca="false">IF(OR($C$118=0,B59=""),"",B59/$C$118)</f>
        <v/>
      </c>
    </row>
    <row r="60" customFormat="false" ht="15" hidden="false" customHeight="false" outlineLevel="0" collapsed="false">
      <c r="A60" s="41" t="s">
        <v>106</v>
      </c>
      <c r="B60" s="42"/>
      <c r="C60" s="25"/>
      <c r="D60" s="42"/>
      <c r="E60" s="25" t="str">
        <f aca="false">IF(D60=0,"",D60-B60)</f>
        <v/>
      </c>
      <c r="F60" s="30" t="str">
        <f aca="false">IF(OR($C$118=0,B60=""),"",B60/$C$118)</f>
        <v/>
      </c>
    </row>
    <row r="61" customFormat="false" ht="15" hidden="false" customHeight="false" outlineLevel="0" collapsed="false">
      <c r="A61" s="41" t="s">
        <v>107</v>
      </c>
      <c r="B61" s="42"/>
      <c r="C61" s="25"/>
      <c r="D61" s="42"/>
      <c r="E61" s="25" t="str">
        <f aca="false">IF(D61=0,"",D61-B61)</f>
        <v/>
      </c>
      <c r="F61" s="30" t="str">
        <f aca="false">IF(OR($C$118=0,B61=""),"",B61/$C$118)</f>
        <v/>
      </c>
    </row>
    <row r="62" customFormat="false" ht="15" hidden="false" customHeight="false" outlineLevel="0" collapsed="false">
      <c r="A62" s="41" t="s">
        <v>108</v>
      </c>
      <c r="B62" s="42"/>
      <c r="C62" s="25"/>
      <c r="D62" s="42"/>
      <c r="E62" s="25" t="str">
        <f aca="false">IF(D62=0,"",D62-B62)</f>
        <v/>
      </c>
      <c r="F62" s="30" t="str">
        <f aca="false">IF(OR($C$118=0,B62=""),"",B62/$C$118)</f>
        <v/>
      </c>
    </row>
    <row r="63" customFormat="false" ht="15" hidden="false" customHeight="false" outlineLevel="0" collapsed="false">
      <c r="A63" s="41" t="s">
        <v>109</v>
      </c>
      <c r="B63" s="42"/>
      <c r="C63" s="25"/>
      <c r="D63" s="42"/>
      <c r="E63" s="25" t="str">
        <f aca="false">IF(D63=0,"",D63-B63)</f>
        <v/>
      </c>
      <c r="F63" s="30" t="str">
        <f aca="false">IF(OR($C$118=0,B63=""),"",B63/$C$118)</f>
        <v/>
      </c>
    </row>
    <row r="64" customFormat="false" ht="15" hidden="false" customHeight="false" outlineLevel="0" collapsed="false">
      <c r="A64" s="41"/>
      <c r="B64" s="42"/>
      <c r="C64" s="25"/>
      <c r="D64" s="42"/>
      <c r="E64" s="25" t="str">
        <f aca="false">IF(D64=0,"",D64-B64)</f>
        <v/>
      </c>
      <c r="F64" s="30" t="str">
        <f aca="false">IF(OR($C$118=0,B64=""),"",B64/$C$118)</f>
        <v/>
      </c>
    </row>
    <row r="65" customFormat="false" ht="15" hidden="false" customHeight="false" outlineLevel="0" collapsed="false">
      <c r="A65" s="41"/>
      <c r="B65" s="42"/>
      <c r="C65" s="25"/>
      <c r="D65" s="42"/>
      <c r="E65" s="25" t="str">
        <f aca="false">IF(D65=0,"",D65-B65)</f>
        <v/>
      </c>
      <c r="F65" s="30" t="str">
        <f aca="false">IF(OR($C$118=0,B65=""),"",B65/$C$118)</f>
        <v/>
      </c>
    </row>
    <row r="66" customFormat="false" ht="15" hidden="false" customHeight="false" outlineLevel="0" collapsed="false">
      <c r="A66" s="43" t="s">
        <v>110</v>
      </c>
      <c r="B66" s="35"/>
      <c r="C66" s="44" t="n">
        <f aca="false">SUM(B54:B65)</f>
        <v>0</v>
      </c>
      <c r="D66" s="44" t="n">
        <f aca="false">SUM(D54:D65)</f>
        <v>0</v>
      </c>
      <c r="E66" s="44" t="str">
        <f aca="false">IF(D66=0,"",D66-C66)</f>
        <v/>
      </c>
      <c r="F66" s="45" t="str">
        <f aca="false">IF(OR($C$118=0,C66=""),"",C66/$C$118)</f>
        <v/>
      </c>
    </row>
    <row r="67" customFormat="false" ht="15" hidden="false" customHeight="false" outlineLevel="0" collapsed="false">
      <c r="A67" s="39" t="s">
        <v>47</v>
      </c>
      <c r="B67" s="40"/>
      <c r="C67" s="40"/>
      <c r="D67" s="40"/>
      <c r="E67" s="40"/>
      <c r="F67" s="40"/>
    </row>
    <row r="68" customFormat="false" ht="15" hidden="false" customHeight="false" outlineLevel="0" collapsed="false">
      <c r="A68" s="41" t="s">
        <v>111</v>
      </c>
      <c r="B68" s="42"/>
      <c r="C68" s="25"/>
      <c r="D68" s="42"/>
      <c r="E68" s="25" t="str">
        <f aca="false">IF(D68=0,"",D68-B68)</f>
        <v/>
      </c>
      <c r="F68" s="30" t="str">
        <f aca="false">IF(OR($C$118=0,B68=""),"",B68/$C$118)</f>
        <v/>
      </c>
    </row>
    <row r="69" customFormat="false" ht="15" hidden="false" customHeight="false" outlineLevel="0" collapsed="false">
      <c r="A69" s="41" t="s">
        <v>112</v>
      </c>
      <c r="B69" s="42"/>
      <c r="C69" s="25"/>
      <c r="D69" s="42"/>
      <c r="E69" s="25" t="str">
        <f aca="false">IF(D69=0,"",D69-B69)</f>
        <v/>
      </c>
      <c r="F69" s="30" t="str">
        <f aca="false">IF(OR($C$118=0,B69=""),"",B69/$C$118)</f>
        <v/>
      </c>
    </row>
    <row r="70" customFormat="false" ht="15" hidden="false" customHeight="false" outlineLevel="0" collapsed="false">
      <c r="A70" s="41" t="s">
        <v>113</v>
      </c>
      <c r="B70" s="42"/>
      <c r="C70" s="25"/>
      <c r="D70" s="42"/>
      <c r="E70" s="25" t="str">
        <f aca="false">IF(D70=0,"",D70-B70)</f>
        <v/>
      </c>
      <c r="F70" s="30" t="str">
        <f aca="false">IF(OR($C$118=0,B70=""),"",B70/$C$118)</f>
        <v/>
      </c>
    </row>
    <row r="71" customFormat="false" ht="15" hidden="false" customHeight="false" outlineLevel="0" collapsed="false">
      <c r="A71" s="41" t="s">
        <v>114</v>
      </c>
      <c r="B71" s="42"/>
      <c r="C71" s="25"/>
      <c r="D71" s="42"/>
      <c r="E71" s="25" t="str">
        <f aca="false">IF(D71=0,"",D71-B71)</f>
        <v/>
      </c>
      <c r="F71" s="30" t="str">
        <f aca="false">IF(OR($C$118=0,B71=""),"",B71/$C$118)</f>
        <v/>
      </c>
    </row>
    <row r="72" customFormat="false" ht="15" hidden="false" customHeight="false" outlineLevel="0" collapsed="false">
      <c r="A72" s="41" t="s">
        <v>115</v>
      </c>
      <c r="B72" s="42"/>
      <c r="C72" s="25"/>
      <c r="D72" s="42"/>
      <c r="E72" s="25" t="str">
        <f aca="false">IF(D72=0,"",D72-B72)</f>
        <v/>
      </c>
      <c r="F72" s="30" t="str">
        <f aca="false">IF(OR($C$118=0,B72=""),"",B72/$C$118)</f>
        <v/>
      </c>
    </row>
    <row r="73" customFormat="false" ht="15" hidden="false" customHeight="false" outlineLevel="0" collapsed="false">
      <c r="A73" s="41" t="s">
        <v>116</v>
      </c>
      <c r="B73" s="42"/>
      <c r="C73" s="25"/>
      <c r="D73" s="42"/>
      <c r="E73" s="25" t="str">
        <f aca="false">IF(D73=0,"",D73-B73)</f>
        <v/>
      </c>
      <c r="F73" s="30" t="str">
        <f aca="false">IF(OR($C$118=0,B73=""),"",B73/$C$118)</f>
        <v/>
      </c>
    </row>
    <row r="74" customFormat="false" ht="15" hidden="false" customHeight="false" outlineLevel="0" collapsed="false">
      <c r="A74" s="41" t="s">
        <v>117</v>
      </c>
      <c r="B74" s="42"/>
      <c r="C74" s="25"/>
      <c r="D74" s="42"/>
      <c r="E74" s="25" t="str">
        <f aca="false">IF(D74=0,"",D74-B74)</f>
        <v/>
      </c>
      <c r="F74" s="30" t="str">
        <f aca="false">IF(OR($C$118=0,B74=""),"",B74/$C$118)</f>
        <v/>
      </c>
    </row>
    <row r="75" customFormat="false" ht="15" hidden="false" customHeight="false" outlineLevel="0" collapsed="false">
      <c r="A75" s="41" t="s">
        <v>118</v>
      </c>
      <c r="B75" s="42"/>
      <c r="C75" s="25"/>
      <c r="D75" s="42"/>
      <c r="E75" s="25" t="str">
        <f aca="false">IF(D75=0,"",D75-B75)</f>
        <v/>
      </c>
      <c r="F75" s="30" t="str">
        <f aca="false">IF(OR($C$118=0,B75=""),"",B75/$C$118)</f>
        <v/>
      </c>
    </row>
    <row r="76" customFormat="false" ht="15" hidden="false" customHeight="false" outlineLevel="0" collapsed="false">
      <c r="A76" s="41"/>
      <c r="B76" s="42"/>
      <c r="C76" s="25"/>
      <c r="D76" s="42"/>
      <c r="E76" s="25" t="str">
        <f aca="false">IF(D76=0,"",D76-B76)</f>
        <v/>
      </c>
      <c r="F76" s="30" t="str">
        <f aca="false">IF(OR($C$118=0,B76=""),"",B76/$C$118)</f>
        <v/>
      </c>
    </row>
    <row r="77" customFormat="false" ht="15" hidden="false" customHeight="false" outlineLevel="0" collapsed="false">
      <c r="A77" s="41"/>
      <c r="B77" s="42"/>
      <c r="C77" s="25"/>
      <c r="D77" s="42"/>
      <c r="E77" s="25" t="str">
        <f aca="false">IF(D77=0,"",D77-B77)</f>
        <v/>
      </c>
      <c r="F77" s="30" t="str">
        <f aca="false">IF(OR($C$118=0,B77=""),"",B77/$C$118)</f>
        <v/>
      </c>
    </row>
    <row r="78" customFormat="false" ht="15" hidden="false" customHeight="false" outlineLevel="0" collapsed="false">
      <c r="A78" s="41"/>
      <c r="B78" s="42"/>
      <c r="C78" s="25"/>
      <c r="D78" s="42"/>
      <c r="E78" s="25" t="str">
        <f aca="false">IF(D78=0,"",D78-B78)</f>
        <v/>
      </c>
      <c r="F78" s="30" t="str">
        <f aca="false">IF(OR($C$118=0,B78=""),"",B78/$C$118)</f>
        <v/>
      </c>
    </row>
    <row r="79" customFormat="false" ht="15" hidden="false" customHeight="false" outlineLevel="0" collapsed="false">
      <c r="A79" s="43" t="s">
        <v>119</v>
      </c>
      <c r="B79" s="35"/>
      <c r="C79" s="44" t="n">
        <f aca="false">SUM(B68:B78)</f>
        <v>0</v>
      </c>
      <c r="D79" s="44" t="n">
        <f aca="false">SUM(D68:D78)</f>
        <v>0</v>
      </c>
      <c r="E79" s="44" t="str">
        <f aca="false">IF(D79=0,"",D79-C79)</f>
        <v/>
      </c>
      <c r="F79" s="45" t="str">
        <f aca="false">IF(OR($C$118=0,C79=""),"",C79/$C$118)</f>
        <v/>
      </c>
    </row>
    <row r="80" customFormat="false" ht="15" hidden="false" customHeight="false" outlineLevel="0" collapsed="false">
      <c r="A80" s="39" t="s">
        <v>48</v>
      </c>
      <c r="B80" s="40"/>
      <c r="C80" s="40"/>
      <c r="D80" s="40"/>
      <c r="E80" s="40"/>
      <c r="F80" s="40"/>
    </row>
    <row r="81" customFormat="false" ht="15" hidden="false" customHeight="false" outlineLevel="0" collapsed="false">
      <c r="A81" s="41" t="s">
        <v>120</v>
      </c>
      <c r="B81" s="42"/>
      <c r="C81" s="25"/>
      <c r="D81" s="42"/>
      <c r="E81" s="25" t="str">
        <f aca="false">IF(D81=0,"",D81-B81)</f>
        <v/>
      </c>
      <c r="F81" s="30" t="str">
        <f aca="false">IF(OR($C$118=0,B81=""),"",B81/$C$118)</f>
        <v/>
      </c>
    </row>
    <row r="82" customFormat="false" ht="15" hidden="false" customHeight="false" outlineLevel="0" collapsed="false">
      <c r="A82" s="41" t="s">
        <v>121</v>
      </c>
      <c r="B82" s="42"/>
      <c r="C82" s="25"/>
      <c r="D82" s="42"/>
      <c r="E82" s="25" t="str">
        <f aca="false">IF(D82=0,"",D82-B82)</f>
        <v/>
      </c>
      <c r="F82" s="30" t="str">
        <f aca="false">IF(OR($C$118=0,B82=""),"",B82/$C$118)</f>
        <v/>
      </c>
    </row>
    <row r="83" customFormat="false" ht="15" hidden="false" customHeight="false" outlineLevel="0" collapsed="false">
      <c r="A83" s="41" t="s">
        <v>122</v>
      </c>
      <c r="B83" s="42"/>
      <c r="C83" s="25"/>
      <c r="D83" s="42"/>
      <c r="E83" s="25" t="str">
        <f aca="false">IF(D83=0,"",D83-B83)</f>
        <v/>
      </c>
      <c r="F83" s="30" t="str">
        <f aca="false">IF(OR($C$118=0,B83=""),"",B83/$C$118)</f>
        <v/>
      </c>
    </row>
    <row r="84" customFormat="false" ht="15" hidden="false" customHeight="false" outlineLevel="0" collapsed="false">
      <c r="A84" s="41"/>
      <c r="B84" s="42"/>
      <c r="C84" s="25"/>
      <c r="D84" s="42"/>
      <c r="E84" s="25" t="str">
        <f aca="false">IF(D84=0,"",D84-B84)</f>
        <v/>
      </c>
      <c r="F84" s="30" t="str">
        <f aca="false">IF(OR($C$118=0,B84=""),"",B84/$C$118)</f>
        <v/>
      </c>
    </row>
    <row r="85" customFormat="false" ht="15" hidden="false" customHeight="false" outlineLevel="0" collapsed="false">
      <c r="A85" s="43" t="s">
        <v>123</v>
      </c>
      <c r="B85" s="35"/>
      <c r="C85" s="44" t="n">
        <f aca="false">SUM(B81:B84)</f>
        <v>0</v>
      </c>
      <c r="D85" s="44" t="n">
        <f aca="false">SUM(D81:D84)</f>
        <v>0</v>
      </c>
      <c r="E85" s="44" t="str">
        <f aca="false">IF(D85=0,"",D85-C85)</f>
        <v/>
      </c>
      <c r="F85" s="45" t="str">
        <f aca="false">IF(OR($C$118=0,C85=""),"",C85/$C$118)</f>
        <v/>
      </c>
    </row>
    <row r="86" customFormat="false" ht="15" hidden="false" customHeight="false" outlineLevel="0" collapsed="false">
      <c r="A86" s="39" t="s">
        <v>49</v>
      </c>
      <c r="B86" s="40"/>
      <c r="C86" s="40"/>
      <c r="D86" s="40"/>
      <c r="E86" s="40"/>
      <c r="F86" s="40"/>
    </row>
    <row r="87" customFormat="false" ht="15" hidden="false" customHeight="false" outlineLevel="0" collapsed="false">
      <c r="A87" s="41" t="s">
        <v>124</v>
      </c>
      <c r="B87" s="42"/>
      <c r="C87" s="25"/>
      <c r="D87" s="42"/>
      <c r="E87" s="25" t="str">
        <f aca="false">IF(D87=0,"",D87-B87)</f>
        <v/>
      </c>
      <c r="F87" s="30" t="str">
        <f aca="false">IF(OR($C$118=0,B87=""),"",B87/$C$118)</f>
        <v/>
      </c>
    </row>
    <row r="88" customFormat="false" ht="15" hidden="false" customHeight="false" outlineLevel="0" collapsed="false">
      <c r="A88" s="41" t="s">
        <v>125</v>
      </c>
      <c r="B88" s="42"/>
      <c r="C88" s="25"/>
      <c r="D88" s="42"/>
      <c r="E88" s="25" t="str">
        <f aca="false">IF(D88=0,"",D88-B88)</f>
        <v/>
      </c>
      <c r="F88" s="30" t="str">
        <f aca="false">IF(OR($C$118=0,B88=""),"",B88/$C$118)</f>
        <v/>
      </c>
    </row>
    <row r="89" customFormat="false" ht="15" hidden="false" customHeight="false" outlineLevel="0" collapsed="false">
      <c r="A89" s="41" t="s">
        <v>126</v>
      </c>
      <c r="B89" s="42"/>
      <c r="C89" s="25"/>
      <c r="D89" s="42"/>
      <c r="E89" s="25" t="str">
        <f aca="false">IF(D89=0,"",D89-B89)</f>
        <v/>
      </c>
      <c r="F89" s="30" t="str">
        <f aca="false">IF(OR($C$118=0,B89=""),"",B89/$C$118)</f>
        <v/>
      </c>
    </row>
    <row r="90" customFormat="false" ht="15" hidden="false" customHeight="false" outlineLevel="0" collapsed="false">
      <c r="A90" s="41" t="s">
        <v>127</v>
      </c>
      <c r="B90" s="42"/>
      <c r="C90" s="25"/>
      <c r="D90" s="42"/>
      <c r="E90" s="25" t="str">
        <f aca="false">IF(D90=0,"",D90-B90)</f>
        <v/>
      </c>
      <c r="F90" s="30" t="str">
        <f aca="false">IF(OR($C$118=0,B90=""),"",B90/$C$118)</f>
        <v/>
      </c>
    </row>
    <row r="91" customFormat="false" ht="15" hidden="false" customHeight="false" outlineLevel="0" collapsed="false">
      <c r="A91" s="41" t="s">
        <v>128</v>
      </c>
      <c r="B91" s="42"/>
      <c r="C91" s="25"/>
      <c r="D91" s="42"/>
      <c r="E91" s="25" t="str">
        <f aca="false">IF(D91=0,"",D91-B91)</f>
        <v/>
      </c>
      <c r="F91" s="30" t="str">
        <f aca="false">IF(OR($C$118=0,B91=""),"",B91/$C$118)</f>
        <v/>
      </c>
    </row>
    <row r="92" customFormat="false" ht="15" hidden="false" customHeight="false" outlineLevel="0" collapsed="false">
      <c r="A92" s="41" t="s">
        <v>129</v>
      </c>
      <c r="B92" s="42"/>
      <c r="C92" s="25"/>
      <c r="D92" s="42"/>
      <c r="E92" s="25" t="str">
        <f aca="false">IF(D92=0,"",D92-B92)</f>
        <v/>
      </c>
      <c r="F92" s="30" t="str">
        <f aca="false">IF(OR($C$118=0,B92=""),"",B92/$C$118)</f>
        <v/>
      </c>
    </row>
    <row r="93" customFormat="false" ht="15" hidden="false" customHeight="false" outlineLevel="0" collapsed="false">
      <c r="A93" s="41"/>
      <c r="B93" s="42"/>
      <c r="C93" s="25"/>
      <c r="D93" s="42"/>
      <c r="E93" s="25" t="str">
        <f aca="false">IF(D93=0,"",D93-B93)</f>
        <v/>
      </c>
      <c r="F93" s="30" t="str">
        <f aca="false">IF(OR($C$118=0,B93=""),"",B93/$C$118)</f>
        <v/>
      </c>
    </row>
    <row r="94" customFormat="false" ht="15" hidden="false" customHeight="false" outlineLevel="0" collapsed="false">
      <c r="A94" s="43" t="s">
        <v>130</v>
      </c>
      <c r="B94" s="35"/>
      <c r="C94" s="44" t="n">
        <f aca="false">SUM(B87:B93)</f>
        <v>0</v>
      </c>
      <c r="D94" s="44" t="n">
        <f aca="false">SUM(D87:D93)</f>
        <v>0</v>
      </c>
      <c r="E94" s="44" t="str">
        <f aca="false">IF(D94=0,"",D94-C94)</f>
        <v/>
      </c>
      <c r="F94" s="45" t="str">
        <f aca="false">IF(OR($C$118=0,C94=""),"",C94/$C$118)</f>
        <v/>
      </c>
    </row>
    <row r="95" customFormat="false" ht="15" hidden="false" customHeight="false" outlineLevel="0" collapsed="false">
      <c r="A95" s="39" t="s">
        <v>50</v>
      </c>
      <c r="B95" s="40"/>
      <c r="C95" s="40"/>
      <c r="D95" s="40"/>
      <c r="E95" s="40"/>
      <c r="F95" s="40"/>
    </row>
    <row r="96" customFormat="false" ht="15" hidden="false" customHeight="false" outlineLevel="0" collapsed="false">
      <c r="A96" s="41" t="s">
        <v>131</v>
      </c>
      <c r="B96" s="42"/>
      <c r="C96" s="25"/>
      <c r="D96" s="42"/>
      <c r="E96" s="25" t="str">
        <f aca="false">IF(D96=0,"",D96-B96)</f>
        <v/>
      </c>
      <c r="F96" s="30" t="str">
        <f aca="false">IF(OR($C$118=0,B96=""),"",B96/$C$118)</f>
        <v/>
      </c>
    </row>
    <row r="97" customFormat="false" ht="15" hidden="false" customHeight="false" outlineLevel="0" collapsed="false">
      <c r="A97" s="41" t="s">
        <v>132</v>
      </c>
      <c r="B97" s="42"/>
      <c r="C97" s="25"/>
      <c r="D97" s="42"/>
      <c r="E97" s="25" t="str">
        <f aca="false">IF(D97=0,"",D97-B97)</f>
        <v/>
      </c>
      <c r="F97" s="30" t="str">
        <f aca="false">IF(OR($C$118=0,B97=""),"",B97/$C$118)</f>
        <v/>
      </c>
    </row>
    <row r="98" customFormat="false" ht="15" hidden="false" customHeight="false" outlineLevel="0" collapsed="false">
      <c r="A98" s="41"/>
      <c r="B98" s="42"/>
      <c r="C98" s="25"/>
      <c r="D98" s="42"/>
      <c r="E98" s="25" t="str">
        <f aca="false">IF(D98=0,"",D98-B98)</f>
        <v/>
      </c>
      <c r="F98" s="30" t="str">
        <f aca="false">IF(OR($C$118=0,B98=""),"",B98/$C$118)</f>
        <v/>
      </c>
    </row>
    <row r="99" customFormat="false" ht="15" hidden="false" customHeight="false" outlineLevel="0" collapsed="false">
      <c r="A99" s="43" t="s">
        <v>133</v>
      </c>
      <c r="B99" s="35"/>
      <c r="C99" s="44" t="n">
        <f aca="false">SUM(B96:B98)</f>
        <v>0</v>
      </c>
      <c r="D99" s="44" t="n">
        <f aca="false">SUM(D96:D98)</f>
        <v>0</v>
      </c>
      <c r="E99" s="44" t="str">
        <f aca="false">IF(D99=0,"",D99-C99)</f>
        <v/>
      </c>
      <c r="F99" s="45" t="str">
        <f aca="false">IF(OR($C$118=0,C99=""),"",C99/$C$118)</f>
        <v/>
      </c>
    </row>
    <row r="100" customFormat="false" ht="15" hidden="false" customHeight="false" outlineLevel="0" collapsed="false">
      <c r="A100" s="39" t="s">
        <v>51</v>
      </c>
      <c r="B100" s="40"/>
      <c r="C100" s="40"/>
      <c r="D100" s="40"/>
      <c r="E100" s="40"/>
      <c r="F100" s="40"/>
    </row>
    <row r="101" customFormat="false" ht="15" hidden="false" customHeight="false" outlineLevel="0" collapsed="false">
      <c r="A101" s="41" t="s">
        <v>134</v>
      </c>
      <c r="B101" s="42"/>
      <c r="C101" s="25"/>
      <c r="D101" s="42"/>
      <c r="E101" s="25" t="str">
        <f aca="false">IF(D101=0,"",D101-B101)</f>
        <v/>
      </c>
      <c r="F101" s="30" t="str">
        <f aca="false">IF(OR($C$118=0,B101=""),"",B101/$C$118)</f>
        <v/>
      </c>
    </row>
    <row r="102" customFormat="false" ht="15" hidden="false" customHeight="false" outlineLevel="0" collapsed="false">
      <c r="A102" s="41" t="s">
        <v>135</v>
      </c>
      <c r="B102" s="42"/>
      <c r="C102" s="25"/>
      <c r="D102" s="42"/>
      <c r="E102" s="25" t="str">
        <f aca="false">IF(D102=0,"",D102-B102)</f>
        <v/>
      </c>
      <c r="F102" s="30" t="str">
        <f aca="false">IF(OR($C$118=0,B102=""),"",B102/$C$118)</f>
        <v/>
      </c>
    </row>
    <row r="103" customFormat="false" ht="15" hidden="false" customHeight="false" outlineLevel="0" collapsed="false">
      <c r="A103" s="41" t="s">
        <v>136</v>
      </c>
      <c r="B103" s="42"/>
      <c r="C103" s="25"/>
      <c r="D103" s="42"/>
      <c r="E103" s="25" t="str">
        <f aca="false">IF(D103=0,"",D103-B103)</f>
        <v/>
      </c>
      <c r="F103" s="30" t="str">
        <f aca="false">IF(OR($C$118=0,B103=""),"",B103/$C$118)</f>
        <v/>
      </c>
    </row>
    <row r="104" customFormat="false" ht="15" hidden="false" customHeight="false" outlineLevel="0" collapsed="false">
      <c r="A104" s="41" t="s">
        <v>137</v>
      </c>
      <c r="B104" s="42"/>
      <c r="C104" s="25"/>
      <c r="D104" s="42"/>
      <c r="E104" s="25" t="str">
        <f aca="false">IF(D104=0,"",D104-B104)</f>
        <v/>
      </c>
      <c r="F104" s="30" t="str">
        <f aca="false">IF(OR($C$118=0,B104=""),"",B104/$C$118)</f>
        <v/>
      </c>
    </row>
    <row r="105" customFormat="false" ht="15" hidden="false" customHeight="false" outlineLevel="0" collapsed="false">
      <c r="A105" s="41"/>
      <c r="B105" s="42"/>
      <c r="C105" s="25"/>
      <c r="D105" s="42"/>
      <c r="E105" s="25" t="str">
        <f aca="false">IF(D105=0,"",D105-B105)</f>
        <v/>
      </c>
      <c r="F105" s="30" t="str">
        <f aca="false">IF(OR($C$118=0,B105=""),"",B105/$C$118)</f>
        <v/>
      </c>
    </row>
    <row r="106" customFormat="false" ht="15" hidden="false" customHeight="false" outlineLevel="0" collapsed="false">
      <c r="A106" s="43" t="s">
        <v>138</v>
      </c>
      <c r="B106" s="35"/>
      <c r="C106" s="44" t="n">
        <f aca="false">SUM(B101:B105)</f>
        <v>0</v>
      </c>
      <c r="D106" s="44" t="n">
        <f aca="false">SUM(D101:D105)</f>
        <v>0</v>
      </c>
      <c r="E106" s="44" t="str">
        <f aca="false">IF(D106=0,"",D106-C106)</f>
        <v/>
      </c>
      <c r="F106" s="45" t="str">
        <f aca="false">IF(OR($C$118=0,C106=""),"",C106/$C$118)</f>
        <v/>
      </c>
    </row>
    <row r="107" customFormat="false" ht="15" hidden="false" customHeight="false" outlineLevel="0" collapsed="false">
      <c r="A107" s="39" t="s">
        <v>52</v>
      </c>
      <c r="B107" s="40"/>
      <c r="C107" s="40"/>
      <c r="D107" s="40"/>
      <c r="E107" s="40"/>
      <c r="F107" s="40"/>
    </row>
    <row r="108" customFormat="false" ht="15" hidden="false" customHeight="false" outlineLevel="0" collapsed="false">
      <c r="A108" s="41" t="s">
        <v>139</v>
      </c>
      <c r="B108" s="42"/>
      <c r="C108" s="25"/>
      <c r="D108" s="42"/>
      <c r="E108" s="25" t="str">
        <f aca="false">IF(D108=0,"",D108-B108)</f>
        <v/>
      </c>
      <c r="F108" s="30" t="str">
        <f aca="false">IF(OR($C$118=0,B108=""),"",B108/$C$118)</f>
        <v/>
      </c>
    </row>
    <row r="109" customFormat="false" ht="15" hidden="false" customHeight="false" outlineLevel="0" collapsed="false">
      <c r="A109" s="41" t="s">
        <v>140</v>
      </c>
      <c r="B109" s="42"/>
      <c r="C109" s="25"/>
      <c r="D109" s="42"/>
      <c r="E109" s="25" t="str">
        <f aca="false">IF(D109=0,"",D109-B109)</f>
        <v/>
      </c>
      <c r="F109" s="30" t="str">
        <f aca="false">IF(OR($C$118=0,B109=""),"",B109/$C$118)</f>
        <v/>
      </c>
    </row>
    <row r="110" customFormat="false" ht="15" hidden="false" customHeight="false" outlineLevel="0" collapsed="false">
      <c r="A110" s="41" t="s">
        <v>141</v>
      </c>
      <c r="B110" s="42"/>
      <c r="C110" s="25"/>
      <c r="D110" s="42"/>
      <c r="E110" s="25" t="str">
        <f aca="false">IF(D110=0,"",D110-B110)</f>
        <v/>
      </c>
      <c r="F110" s="30" t="str">
        <f aca="false">IF(OR($C$118=0,B110=""),"",B110/$C$118)</f>
        <v/>
      </c>
    </row>
    <row r="111" customFormat="false" ht="15" hidden="false" customHeight="false" outlineLevel="0" collapsed="false">
      <c r="A111" s="41"/>
      <c r="B111" s="42"/>
      <c r="C111" s="25"/>
      <c r="D111" s="42"/>
      <c r="E111" s="25" t="str">
        <f aca="false">IF(D111=0,"",D111-B111)</f>
        <v/>
      </c>
      <c r="F111" s="30" t="str">
        <f aca="false">IF(OR($C$118=0,B111=""),"",B111/$C$118)</f>
        <v/>
      </c>
    </row>
    <row r="112" customFormat="false" ht="15" hidden="false" customHeight="false" outlineLevel="0" collapsed="false">
      <c r="A112" s="43" t="s">
        <v>142</v>
      </c>
      <c r="B112" s="35"/>
      <c r="C112" s="44" t="n">
        <f aca="false">SUM(B108:B111)</f>
        <v>0</v>
      </c>
      <c r="D112" s="44" t="n">
        <f aca="false">SUM(D108:D111)</f>
        <v>0</v>
      </c>
      <c r="E112" s="44" t="str">
        <f aca="false">IF(D112=0,"",D112-C112)</f>
        <v/>
      </c>
      <c r="F112" s="45" t="str">
        <f aca="false">IF(OR($C$118=0,C112=""),"",C112/$C$118)</f>
        <v/>
      </c>
    </row>
    <row r="113" customFormat="false" ht="15" hidden="false" customHeight="false" outlineLevel="0" collapsed="false">
      <c r="A113" s="39" t="s">
        <v>53</v>
      </c>
      <c r="B113" s="40"/>
      <c r="C113" s="40"/>
      <c r="D113" s="40"/>
      <c r="E113" s="40"/>
      <c r="F113" s="40"/>
    </row>
    <row r="114" customFormat="false" ht="15" hidden="false" customHeight="false" outlineLevel="0" collapsed="false">
      <c r="A114" s="41" t="s">
        <v>143</v>
      </c>
      <c r="B114" s="42"/>
      <c r="C114" s="25"/>
      <c r="D114" s="42"/>
      <c r="E114" s="25" t="str">
        <f aca="false">IF(D114=0,"",D114-B114)</f>
        <v/>
      </c>
      <c r="F114" s="30" t="str">
        <f aca="false">IF(OR($C$118=0,B114=""),"",B114/$C$118)</f>
        <v/>
      </c>
    </row>
    <row r="115" customFormat="false" ht="15" hidden="false" customHeight="false" outlineLevel="0" collapsed="false">
      <c r="A115" s="41" t="s">
        <v>144</v>
      </c>
      <c r="B115" s="42"/>
      <c r="C115" s="25"/>
      <c r="D115" s="42"/>
      <c r="E115" s="25" t="str">
        <f aca="false">IF(D115=0,"",D115-B115)</f>
        <v/>
      </c>
      <c r="F115" s="30" t="str">
        <f aca="false">IF(OR($C$118=0,B115=""),"",B115/$C$118)</f>
        <v/>
      </c>
    </row>
    <row r="116" customFormat="false" ht="15" hidden="false" customHeight="false" outlineLevel="0" collapsed="false">
      <c r="A116" s="41"/>
      <c r="B116" s="42"/>
      <c r="C116" s="25"/>
      <c r="D116" s="42"/>
      <c r="E116" s="25" t="str">
        <f aca="false">IF(D116=0,"",D116-B116)</f>
        <v/>
      </c>
      <c r="F116" s="30" t="str">
        <f aca="false">IF(OR($C$118=0,B116=""),"",B116/$C$118)</f>
        <v/>
      </c>
    </row>
    <row r="117" customFormat="false" ht="15" hidden="false" customHeight="false" outlineLevel="0" collapsed="false">
      <c r="A117" s="43" t="s">
        <v>145</v>
      </c>
      <c r="B117" s="35"/>
      <c r="C117" s="44" t="n">
        <f aca="false">SUM(B114:B116)</f>
        <v>0</v>
      </c>
      <c r="D117" s="44" t="n">
        <f aca="false">SUM(D114:D116)</f>
        <v>0</v>
      </c>
      <c r="E117" s="44" t="str">
        <f aca="false">IF(D117=0,"",D117-C117)</f>
        <v/>
      </c>
      <c r="F117" s="45" t="str">
        <f aca="false">IF(OR($C$118=0,C117=""),"",C117/$C$118)</f>
        <v/>
      </c>
    </row>
    <row r="118" customFormat="false" ht="15" hidden="false" customHeight="false" outlineLevel="0" collapsed="false">
      <c r="A118" s="33" t="s">
        <v>146</v>
      </c>
      <c r="B118" s="33"/>
      <c r="C118" s="50" t="n">
        <f aca="false">C35+C42+C52+C66+C79+C85+C94+C99+C106+C112+C117</f>
        <v>0</v>
      </c>
      <c r="D118" s="50" t="n">
        <f aca="false">D35+D42+D52+D66+D79+D85+D94+D99+D106+D112+D117</f>
        <v>0</v>
      </c>
      <c r="E118" s="50" t="str">
        <f aca="false">IF(D118=0,"",D118-C118)</f>
        <v/>
      </c>
      <c r="F118" s="51" t="str">
        <f aca="false">IF($C$16=0,"",C118/$C$16)</f>
        <v/>
      </c>
    </row>
    <row r="119" customFormat="false" ht="15" hidden="false" customHeight="false" outlineLevel="0" collapsed="false">
      <c r="A119" s="8" t="s">
        <v>147</v>
      </c>
      <c r="B119" s="8"/>
      <c r="C119" s="8" t="s">
        <v>148</v>
      </c>
      <c r="D119" s="8" t="s">
        <v>149</v>
      </c>
      <c r="E119" s="8"/>
      <c r="F119" s="8" t="s">
        <v>150</v>
      </c>
    </row>
    <row r="120" customFormat="false" ht="15" hidden="false" customHeight="false" outlineLevel="0" collapsed="false">
      <c r="A120" s="13" t="s">
        <v>151</v>
      </c>
      <c r="B120" s="52"/>
      <c r="C120" s="53" t="n">
        <f aca="false">C16</f>
        <v>0</v>
      </c>
      <c r="D120" s="53" t="n">
        <f aca="false">D16</f>
        <v>0</v>
      </c>
      <c r="E120" s="52"/>
      <c r="F120" s="54" t="str">
        <f aca="false">IF($C$120=0,"",C120/$C$120)</f>
        <v/>
      </c>
    </row>
    <row r="121" customFormat="false" ht="15" hidden="false" customHeight="false" outlineLevel="0" collapsed="false">
      <c r="A121" s="17" t="s">
        <v>152</v>
      </c>
      <c r="B121" s="52"/>
      <c r="C121" s="53" t="n">
        <f aca="false">C28</f>
        <v>0</v>
      </c>
      <c r="D121" s="53" t="n">
        <f aca="false">D28</f>
        <v>0</v>
      </c>
      <c r="E121" s="52"/>
      <c r="F121" s="54" t="str">
        <f aca="false">IF($C$120=0,"",C121/$C$120)</f>
        <v/>
      </c>
    </row>
    <row r="122" customFormat="false" ht="15" hidden="false" customHeight="false" outlineLevel="0" collapsed="false">
      <c r="A122" s="18" t="s">
        <v>153</v>
      </c>
      <c r="B122" s="52"/>
      <c r="C122" s="53" t="n">
        <f aca="false">C118</f>
        <v>0</v>
      </c>
      <c r="D122" s="53" t="n">
        <f aca="false">D118</f>
        <v>0</v>
      </c>
      <c r="E122" s="52"/>
      <c r="F122" s="54" t="str">
        <f aca="false">IF($C$120=0,"",C122/$C$120)</f>
        <v/>
      </c>
    </row>
    <row r="123" customFormat="false" ht="15" hidden="false" customHeight="false" outlineLevel="0" collapsed="false">
      <c r="A123" s="33" t="s">
        <v>154</v>
      </c>
      <c r="B123" s="33"/>
      <c r="C123" s="50" t="n">
        <f aca="false">C121+C122</f>
        <v>0</v>
      </c>
      <c r="D123" s="50" t="n">
        <f aca="false">D121+D122</f>
        <v>0</v>
      </c>
      <c r="E123" s="33"/>
      <c r="F123" s="51" t="str">
        <f aca="false">IF($C$120=0,"",C123/$C$120)</f>
        <v/>
      </c>
    </row>
    <row r="124" customFormat="false" ht="15" hidden="false" customHeight="false" outlineLevel="0" collapsed="false">
      <c r="A124" s="19" t="s">
        <v>155</v>
      </c>
      <c r="B124" s="19"/>
      <c r="C124" s="20" t="n">
        <f aca="false">C120-C123</f>
        <v>0</v>
      </c>
      <c r="D124" s="20" t="n">
        <f aca="false">D120-D123</f>
        <v>0</v>
      </c>
      <c r="E124" s="19"/>
      <c r="F124" s="55" t="str">
        <f aca="false">IF($C$120=0,"",C124/$C$120)</f>
        <v/>
      </c>
    </row>
    <row r="125" customFormat="false" ht="15" hidden="false" customHeight="false" outlineLevel="0" collapsed="false">
      <c r="A125" s="24" t="s">
        <v>156</v>
      </c>
      <c r="B125" s="24"/>
      <c r="C125" s="23" t="str">
        <f aca="false">IF(C120=0,"–",C121/C120)</f>
        <v>–</v>
      </c>
      <c r="D125" s="23" t="str">
        <f aca="false">IF(D120=0,"–",D121/D120)</f>
        <v>–</v>
      </c>
      <c r="E125" s="24"/>
      <c r="F125" s="24"/>
    </row>
    <row r="126" customFormat="false" ht="15" hidden="false" customHeight="false" outlineLevel="0" collapsed="false">
      <c r="A126" s="36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7" t="str">
        <f aca="false">" 💰 HAVI KÖLTSÉGVETÉS — "&amp;UPPER("Február")&amp;" "&amp;'📊 Éves Összesítő'!$B$2</f>
        <v> 💰 HAVI KÖLTSÉGVETÉS — FEBRUÁR 2026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37" t="s">
        <v>56</v>
      </c>
      <c r="B2" s="38" t="s">
        <v>57</v>
      </c>
      <c r="C2" s="38" t="s">
        <v>58</v>
      </c>
      <c r="D2" s="38" t="s">
        <v>59</v>
      </c>
      <c r="E2" s="38" t="s">
        <v>60</v>
      </c>
      <c r="F2" s="38" t="s">
        <v>33</v>
      </c>
    </row>
    <row r="3" customFormat="false" ht="18" hidden="false" customHeight="true" outlineLevel="0" collapsed="false">
      <c r="A3" s="26" t="s">
        <v>61</v>
      </c>
      <c r="B3" s="26"/>
      <c r="C3" s="26"/>
      <c r="D3" s="26"/>
      <c r="E3" s="26"/>
      <c r="F3" s="26"/>
    </row>
    <row r="4" customFormat="false" ht="15" hidden="false" customHeight="false" outlineLevel="0" collapsed="false">
      <c r="A4" s="39" t="s">
        <v>62</v>
      </c>
      <c r="B4" s="40"/>
      <c r="C4" s="40"/>
      <c r="D4" s="40"/>
      <c r="E4" s="40"/>
      <c r="F4" s="40"/>
    </row>
    <row r="5" customFormat="false" ht="15" hidden="false" customHeight="false" outlineLevel="0" collapsed="false">
      <c r="A5" s="41" t="str">
        <f aca="false">IF(Január!A5="","",Január!A5)</f>
        <v>Munkabér 1 (pl. saját)</v>
      </c>
      <c r="B5" s="42"/>
      <c r="C5" s="25"/>
      <c r="D5" s="42"/>
      <c r="E5" s="25" t="str">
        <f aca="false">IF(D5=0,"",B5-D5)</f>
        <v/>
      </c>
      <c r="F5" s="30" t="str">
        <f aca="false">IF(OR($C$16=0,B5=""),"",B5/$C$16)</f>
        <v/>
      </c>
    </row>
    <row r="6" customFormat="false" ht="15" hidden="false" customHeight="false" outlineLevel="0" collapsed="false">
      <c r="A6" s="41" t="str">
        <f aca="false">IF(Január!A6="","",Január!A6)</f>
        <v>Munkabér 2 (pl. partner)</v>
      </c>
      <c r="B6" s="42"/>
      <c r="C6" s="25"/>
      <c r="D6" s="42"/>
      <c r="E6" s="25" t="str">
        <f aca="false">IF(D6=0,"",B6-D6)</f>
        <v/>
      </c>
      <c r="F6" s="30" t="str">
        <f aca="false">IF(OR($C$16=0,B6=""),"",B6/$C$16)</f>
        <v/>
      </c>
    </row>
    <row r="7" customFormat="false" ht="15" hidden="false" customHeight="false" outlineLevel="0" collapsed="false">
      <c r="A7" s="41" t="str">
        <f aca="false">IF(Január!A7="","",Január!A7)</f>
        <v>Vállalkozói bevétel</v>
      </c>
      <c r="B7" s="42"/>
      <c r="C7" s="25"/>
      <c r="D7" s="42"/>
      <c r="E7" s="25" t="str">
        <f aca="false">IF(D7=0,"",B7-D7)</f>
        <v/>
      </c>
      <c r="F7" s="30" t="str">
        <f aca="false">IF(OR($C$16=0,B7=""),"",B7/$C$16)</f>
        <v/>
      </c>
    </row>
    <row r="8" customFormat="false" ht="15" hidden="false" customHeight="false" outlineLevel="0" collapsed="false">
      <c r="A8" s="41" t="str">
        <f aca="false">IF(Január!A8="","",Január!A8)</f>
        <v/>
      </c>
      <c r="B8" s="42"/>
      <c r="C8" s="25"/>
      <c r="D8" s="42"/>
      <c r="E8" s="25" t="str">
        <f aca="false">IF(D8=0,"",B8-D8)</f>
        <v/>
      </c>
      <c r="F8" s="30" t="str">
        <f aca="false">IF(OR($C$16=0,B8=""),"",B8/$C$16)</f>
        <v/>
      </c>
    </row>
    <row r="9" customFormat="false" ht="15" hidden="false" customHeight="false" outlineLevel="0" collapsed="false">
      <c r="A9" s="43" t="s">
        <v>66</v>
      </c>
      <c r="B9" s="35"/>
      <c r="C9" s="44" t="n">
        <f aca="false">SUM(B5:B8)</f>
        <v>0</v>
      </c>
      <c r="D9" s="44" t="n">
        <f aca="false">SUM(D5:D8)</f>
        <v>0</v>
      </c>
      <c r="E9" s="44" t="str">
        <f aca="false">IF(D9=0,"",C9-D9)</f>
        <v/>
      </c>
      <c r="F9" s="45" t="str">
        <f aca="false">IF(OR($C$16=0,C9=""),"",C9/$C$16)</f>
        <v/>
      </c>
    </row>
    <row r="10" customFormat="false" ht="15" hidden="false" customHeight="false" outlineLevel="0" collapsed="false">
      <c r="A10" s="39" t="s">
        <v>67</v>
      </c>
      <c r="B10" s="40"/>
      <c r="C10" s="40"/>
      <c r="D10" s="40"/>
      <c r="E10" s="40"/>
      <c r="F10" s="40"/>
    </row>
    <row r="11" customFormat="false" ht="15" hidden="false" customHeight="false" outlineLevel="0" collapsed="false">
      <c r="A11" s="41" t="str">
        <f aca="false">IF(Január!A11="","",Január!A11)</f>
        <v>CSED / GYED / GYES</v>
      </c>
      <c r="B11" s="42"/>
      <c r="C11" s="25"/>
      <c r="D11" s="42"/>
      <c r="E11" s="25" t="str">
        <f aca="false">IF(D11=0,"",B11-D11)</f>
        <v/>
      </c>
      <c r="F11" s="30" t="str">
        <f aca="false">IF(OR($C$16=0,B11=""),"",B11/$C$16)</f>
        <v/>
      </c>
    </row>
    <row r="12" customFormat="false" ht="15" hidden="false" customHeight="false" outlineLevel="0" collapsed="false">
      <c r="A12" s="41" t="str">
        <f aca="false">IF(Január!A12="","",Január!A12)</f>
        <v>Családi pótlék</v>
      </c>
      <c r="B12" s="42"/>
      <c r="C12" s="25"/>
      <c r="D12" s="42"/>
      <c r="E12" s="25" t="str">
        <f aca="false">IF(D12=0,"",B12-D12)</f>
        <v/>
      </c>
      <c r="F12" s="30" t="str">
        <f aca="false">IF(OR($C$16=0,B12=""),"",B12/$C$16)</f>
        <v/>
      </c>
    </row>
    <row r="13" customFormat="false" ht="15" hidden="false" customHeight="false" outlineLevel="0" collapsed="false">
      <c r="A13" s="41" t="str">
        <f aca="false">IF(Január!A13="","",Január!A13)</f>
        <v>Egyéb (lakáskiadás, bónusz stb.)</v>
      </c>
      <c r="B13" s="42"/>
      <c r="C13" s="25"/>
      <c r="D13" s="42"/>
      <c r="E13" s="25" t="str">
        <f aca="false">IF(D13=0,"",B13-D13)</f>
        <v/>
      </c>
      <c r="F13" s="30" t="str">
        <f aca="false">IF(OR($C$16=0,B13=""),"",B13/$C$16)</f>
        <v/>
      </c>
    </row>
    <row r="14" customFormat="false" ht="15" hidden="false" customHeight="false" outlineLevel="0" collapsed="false">
      <c r="A14" s="41" t="str">
        <f aca="false">IF(Január!A14="","",Január!A14)</f>
        <v/>
      </c>
      <c r="B14" s="42"/>
      <c r="C14" s="25"/>
      <c r="D14" s="42"/>
      <c r="E14" s="25" t="str">
        <f aca="false">IF(D14=0,"",B14-D14)</f>
        <v/>
      </c>
      <c r="F14" s="30" t="str">
        <f aca="false">IF(OR($C$16=0,B14=""),"",B14/$C$16)</f>
        <v/>
      </c>
    </row>
    <row r="15" customFormat="false" ht="15" hidden="false" customHeight="false" outlineLevel="0" collapsed="false">
      <c r="A15" s="43" t="s">
        <v>71</v>
      </c>
      <c r="B15" s="35"/>
      <c r="C15" s="44" t="n">
        <f aca="false">SUM(B11:B14)</f>
        <v>0</v>
      </c>
      <c r="D15" s="44" t="n">
        <f aca="false">SUM(D11:D14)</f>
        <v>0</v>
      </c>
      <c r="E15" s="44" t="str">
        <f aca="false">IF(D15=0,"",C15-D15)</f>
        <v/>
      </c>
      <c r="F15" s="45" t="str">
        <f aca="false">IF(OR($C$16=0,C15=""),"",C15/$C$16)</f>
        <v/>
      </c>
    </row>
    <row r="16" customFormat="false" ht="15" hidden="false" customHeight="false" outlineLevel="0" collapsed="false">
      <c r="A16" s="26" t="s">
        <v>72</v>
      </c>
      <c r="B16" s="26"/>
      <c r="C16" s="46" t="n">
        <f aca="false">C9+C15</f>
        <v>0</v>
      </c>
      <c r="D16" s="46" t="n">
        <f aca="false">D9+D15</f>
        <v>0</v>
      </c>
      <c r="E16" s="46" t="str">
        <f aca="false">IF(D16=0,"",C16-D16)</f>
        <v/>
      </c>
      <c r="F16" s="47" t="str">
        <f aca="false">IF($C$16=0,"",1)</f>
        <v/>
      </c>
    </row>
    <row r="17" customFormat="false" ht="18" hidden="false" customHeight="true" outlineLevel="0" collapsed="false">
      <c r="A17" s="31" t="s">
        <v>73</v>
      </c>
      <c r="B17" s="31"/>
      <c r="C17" s="31"/>
      <c r="D17" s="31"/>
      <c r="E17" s="31"/>
      <c r="F17" s="31"/>
    </row>
    <row r="18" customFormat="false" ht="15" hidden="false" customHeight="false" outlineLevel="0" collapsed="false">
      <c r="A18" s="41" t="str">
        <f aca="false">IF(Január!A18="","",Január!A18)</f>
        <v>Vésztartalék</v>
      </c>
      <c r="B18" s="42"/>
      <c r="C18" s="25"/>
      <c r="D18" s="42"/>
      <c r="E18" s="25" t="str">
        <f aca="false">IF(D18=0,"",B18-D18)</f>
        <v/>
      </c>
      <c r="F18" s="30" t="str">
        <f aca="false">IF(OR($C$28=0,B18=""),"",B18/$C$28)</f>
        <v/>
      </c>
    </row>
    <row r="19" customFormat="false" ht="15" hidden="false" customHeight="false" outlineLevel="0" collapsed="false">
      <c r="A19" s="41" t="str">
        <f aca="false">IF(Január!A19="","",Január!A19)</f>
        <v>Lakástakarékpénztár</v>
      </c>
      <c r="B19" s="42"/>
      <c r="C19" s="25"/>
      <c r="D19" s="42"/>
      <c r="E19" s="25" t="str">
        <f aca="false">IF(D19=0,"",B19-D19)</f>
        <v/>
      </c>
      <c r="F19" s="30" t="str">
        <f aca="false">IF(OR($C$28=0,B19=""),"",B19/$C$28)</f>
        <v/>
      </c>
    </row>
    <row r="20" customFormat="false" ht="15" hidden="false" customHeight="false" outlineLevel="0" collapsed="false">
      <c r="A20" s="41" t="str">
        <f aca="false">IF(Január!A20="","",Január!A20)</f>
        <v>Általános cél</v>
      </c>
      <c r="B20" s="42"/>
      <c r="C20" s="25"/>
      <c r="D20" s="42"/>
      <c r="E20" s="25" t="str">
        <f aca="false">IF(D20=0,"",B20-D20)</f>
        <v/>
      </c>
      <c r="F20" s="30" t="str">
        <f aca="false">IF(OR($C$28=0,B20=""),"",B20/$C$28)</f>
        <v/>
      </c>
    </row>
    <row r="21" customFormat="false" ht="15" hidden="false" customHeight="false" outlineLevel="0" collapsed="false">
      <c r="A21" s="41" t="str">
        <f aca="false">IF(Január!A21="","",Január!A21)</f>
        <v>Hosszú távú (min. 10 éves, általános célú)</v>
      </c>
      <c r="B21" s="42"/>
      <c r="C21" s="25"/>
      <c r="D21" s="42"/>
      <c r="E21" s="25" t="str">
        <f aca="false">IF(D21=0,"",B21-D21)</f>
        <v/>
      </c>
      <c r="F21" s="30" t="str">
        <f aca="false">IF(OR($C$28=0,B21=""),"",B21/$C$28)</f>
        <v/>
      </c>
    </row>
    <row r="22" customFormat="false" ht="15" hidden="false" customHeight="false" outlineLevel="0" collapsed="false">
      <c r="A22" s="41" t="str">
        <f aca="false">IF(Január!A22="","",Január!A22)</f>
        <v>Hosszú távú (min. 10 éves, lakás célú)</v>
      </c>
      <c r="B22" s="42"/>
      <c r="C22" s="25"/>
      <c r="D22" s="42"/>
      <c r="E22" s="25" t="str">
        <f aca="false">IF(D22=0,"",B22-D22)</f>
        <v/>
      </c>
      <c r="F22" s="30" t="str">
        <f aca="false">IF(OR($C$28=0,B22=""),"",B22/$C$28)</f>
        <v/>
      </c>
    </row>
    <row r="23" customFormat="false" ht="15" hidden="false" customHeight="false" outlineLevel="0" collapsed="false">
      <c r="A23" s="41" t="str">
        <f aca="false">IF(Január!A23="","",Január!A23)</f>
        <v>Hosszú távú (min. 10 éves, gyermek jövője célú)</v>
      </c>
      <c r="B23" s="42"/>
      <c r="C23" s="25"/>
      <c r="D23" s="42"/>
      <c r="E23" s="25" t="str">
        <f aca="false">IF(D23=0,"",B23-D23)</f>
        <v/>
      </c>
      <c r="F23" s="30" t="str">
        <f aca="false">IF(OR($C$28=0,B23=""),"",B23/$C$28)</f>
        <v/>
      </c>
    </row>
    <row r="24" customFormat="false" ht="15" hidden="false" customHeight="false" outlineLevel="0" collapsed="false">
      <c r="A24" s="41" t="str">
        <f aca="false">IF(Január!A24="","",Január!A24)</f>
        <v>Hosszú távú (min. 15 éves, nyugdíj célú)</v>
      </c>
      <c r="B24" s="42"/>
      <c r="C24" s="25"/>
      <c r="D24" s="42"/>
      <c r="E24" s="25" t="str">
        <f aca="false">IF(D24=0,"",B24-D24)</f>
        <v/>
      </c>
      <c r="F24" s="30" t="str">
        <f aca="false">IF(OR($C$28=0,B24=""),"",B24/$C$28)</f>
        <v/>
      </c>
    </row>
    <row r="25" customFormat="false" ht="15" hidden="false" customHeight="false" outlineLevel="0" collapsed="false">
      <c r="A25" s="41" t="str">
        <f aca="false">IF(Január!A25="","",Január!A25)</f>
        <v>Nyugdíjbiztosítás</v>
      </c>
      <c r="B25" s="42"/>
      <c r="C25" s="25"/>
      <c r="D25" s="42"/>
      <c r="E25" s="25" t="str">
        <f aca="false">IF(D25=0,"",B25-D25)</f>
        <v/>
      </c>
      <c r="F25" s="30" t="str">
        <f aca="false">IF(OR($C$28=0,B25=""),"",B25/$C$28)</f>
        <v/>
      </c>
    </row>
    <row r="26" customFormat="false" ht="15" hidden="false" customHeight="false" outlineLevel="0" collapsed="false">
      <c r="A26" s="41" t="str">
        <f aca="false">IF(Január!A26="","",Január!A26)</f>
        <v/>
      </c>
      <c r="B26" s="42"/>
      <c r="C26" s="25"/>
      <c r="D26" s="42"/>
      <c r="E26" s="25" t="str">
        <f aca="false">IF(D26=0,"",B26-D26)</f>
        <v/>
      </c>
      <c r="F26" s="30" t="str">
        <f aca="false">IF(OR($C$28=0,B26=""),"",B26/$C$28)</f>
        <v/>
      </c>
    </row>
    <row r="27" customFormat="false" ht="15" hidden="false" customHeight="false" outlineLevel="0" collapsed="false">
      <c r="A27" s="41" t="str">
        <f aca="false">IF(Január!A27="","",Január!A27)</f>
        <v/>
      </c>
      <c r="B27" s="42"/>
      <c r="C27" s="25"/>
      <c r="D27" s="42"/>
      <c r="E27" s="25" t="str">
        <f aca="false">IF(D27=0,"",B27-D27)</f>
        <v/>
      </c>
      <c r="F27" s="30" t="str">
        <f aca="false">IF(OR($C$28=0,B27=""),"",B27/$C$28)</f>
        <v/>
      </c>
    </row>
    <row r="28" customFormat="false" ht="15" hidden="false" customHeight="false" outlineLevel="0" collapsed="false">
      <c r="A28" s="31" t="s">
        <v>82</v>
      </c>
      <c r="B28" s="31"/>
      <c r="C28" s="48" t="n">
        <f aca="false">SUM(B18:B27)</f>
        <v>0</v>
      </c>
      <c r="D28" s="48" t="n">
        <f aca="false">SUM(D18:D27)</f>
        <v>0</v>
      </c>
      <c r="E28" s="48" t="str">
        <f aca="false">IF(D28=0,"",C28-D28)</f>
        <v/>
      </c>
      <c r="F28" s="49" t="str">
        <f aca="false">IF($C$16=0,"",C28/$C$16)</f>
        <v/>
      </c>
    </row>
    <row r="29" customFormat="false" ht="18" hidden="false" customHeight="true" outlineLevel="0" collapsed="false">
      <c r="A29" s="33" t="s">
        <v>83</v>
      </c>
      <c r="B29" s="33"/>
      <c r="C29" s="33"/>
      <c r="D29" s="33"/>
      <c r="E29" s="33"/>
      <c r="F29" s="33"/>
    </row>
    <row r="30" customFormat="false" ht="15" hidden="false" customHeight="false" outlineLevel="0" collapsed="false">
      <c r="A30" s="39" t="s">
        <v>43</v>
      </c>
      <c r="B30" s="40"/>
      <c r="C30" s="40"/>
      <c r="D30" s="40"/>
      <c r="E30" s="40"/>
      <c r="F30" s="40"/>
    </row>
    <row r="31" customFormat="false" ht="15" hidden="false" customHeight="false" outlineLevel="0" collapsed="false">
      <c r="A31" s="41" t="str">
        <f aca="false">IF(Január!A31="","",Január!A31)</f>
        <v>Albérleti díj / lakáshitel</v>
      </c>
      <c r="B31" s="42"/>
      <c r="C31" s="25"/>
      <c r="D31" s="42"/>
      <c r="E31" s="25" t="str">
        <f aca="false">IF(D31=0,"",D31-B31)</f>
        <v/>
      </c>
      <c r="F31" s="30" t="str">
        <f aca="false">IF(OR($C$118=0,B31=""),"",B31/$C$118)</f>
        <v/>
      </c>
    </row>
    <row r="32" customFormat="false" ht="15" hidden="false" customHeight="false" outlineLevel="0" collapsed="false">
      <c r="A32" s="41" t="str">
        <f aca="false">IF(Január!A32="","",Január!A32)</f>
        <v>Rezsi (közművek, közös költség)</v>
      </c>
      <c r="B32" s="42"/>
      <c r="C32" s="25"/>
      <c r="D32" s="42"/>
      <c r="E32" s="25" t="str">
        <f aca="false">IF(D32=0,"",D32-B32)</f>
        <v/>
      </c>
      <c r="F32" s="30" t="str">
        <f aca="false">IF(OR($C$118=0,B32=""),"",B32/$C$118)</f>
        <v/>
      </c>
    </row>
    <row r="33" customFormat="false" ht="15" hidden="false" customHeight="false" outlineLevel="0" collapsed="false">
      <c r="A33" s="41" t="str">
        <f aca="false">IF(Január!A33="","",Január!A33)</f>
        <v>Telefon, internet, digitális előfizetések</v>
      </c>
      <c r="B33" s="42"/>
      <c r="C33" s="25"/>
      <c r="D33" s="42"/>
      <c r="E33" s="25" t="str">
        <f aca="false">IF(D33=0,"",D33-B33)</f>
        <v/>
      </c>
      <c r="F33" s="30" t="str">
        <f aca="false">IF(OR($C$118=0,B33=""),"",B33/$C$118)</f>
        <v/>
      </c>
    </row>
    <row r="34" customFormat="false" ht="15" hidden="false" customHeight="false" outlineLevel="0" collapsed="false">
      <c r="A34" s="41" t="str">
        <f aca="false">IF(Január!A34="","",Január!A34)</f>
        <v/>
      </c>
      <c r="B34" s="42"/>
      <c r="C34" s="25"/>
      <c r="D34" s="42"/>
      <c r="E34" s="25" t="str">
        <f aca="false">IF(D34=0,"",D34-B34)</f>
        <v/>
      </c>
      <c r="F34" s="30" t="str">
        <f aca="false">IF(OR($C$118=0,B34=""),"",B34/$C$118)</f>
        <v/>
      </c>
    </row>
    <row r="35" customFormat="false" ht="15" hidden="false" customHeight="false" outlineLevel="0" collapsed="false">
      <c r="A35" s="43" t="s">
        <v>87</v>
      </c>
      <c r="B35" s="35"/>
      <c r="C35" s="44" t="n">
        <f aca="false">SUM(B31:B34)</f>
        <v>0</v>
      </c>
      <c r="D35" s="44" t="n">
        <f aca="false">SUM(D31:D34)</f>
        <v>0</v>
      </c>
      <c r="E35" s="44" t="str">
        <f aca="false">IF(D35=0,"",D35-C35)</f>
        <v/>
      </c>
      <c r="F35" s="45" t="str">
        <f aca="false">IF(OR($C$118=0,C35=""),"",C35/$C$118)</f>
        <v/>
      </c>
    </row>
    <row r="36" customFormat="false" ht="15" hidden="false" customHeight="false" outlineLevel="0" collapsed="false">
      <c r="A36" s="39" t="s">
        <v>44</v>
      </c>
      <c r="B36" s="40"/>
      <c r="C36" s="40"/>
      <c r="D36" s="40"/>
      <c r="E36" s="40"/>
      <c r="F36" s="40"/>
    </row>
    <row r="37" customFormat="false" ht="15" hidden="false" customHeight="false" outlineLevel="0" collapsed="false">
      <c r="A37" s="41" t="str">
        <f aca="false">IF(Január!A37="","",Január!A37)</f>
        <v>Nagybevásárlások</v>
      </c>
      <c r="B37" s="42"/>
      <c r="C37" s="25"/>
      <c r="D37" s="42"/>
      <c r="E37" s="25" t="str">
        <f aca="false">IF(D37=0,"",D37-B37)</f>
        <v/>
      </c>
      <c r="F37" s="30" t="str">
        <f aca="false">IF(OR($C$118=0,B37=""),"",B37/$C$118)</f>
        <v/>
      </c>
    </row>
    <row r="38" customFormat="false" ht="15" hidden="false" customHeight="false" outlineLevel="0" collapsed="false">
      <c r="A38" s="41" t="str">
        <f aca="false">IF(Január!A38="","",Január!A38)</f>
        <v>Drogéria</v>
      </c>
      <c r="B38" s="42"/>
      <c r="C38" s="25"/>
      <c r="D38" s="42"/>
      <c r="E38" s="25" t="str">
        <f aca="false">IF(D38=0,"",D38-B38)</f>
        <v/>
      </c>
      <c r="F38" s="30" t="str">
        <f aca="false">IF(OR($C$118=0,B38=""),"",B38/$C$118)</f>
        <v/>
      </c>
    </row>
    <row r="39" customFormat="false" ht="15" hidden="false" customHeight="false" outlineLevel="0" collapsed="false">
      <c r="A39" s="41" t="str">
        <f aca="false">IF(Január!A39="","",Január!A39)</f>
        <v>Ételrendelés</v>
      </c>
      <c r="B39" s="42"/>
      <c r="C39" s="25"/>
      <c r="D39" s="42"/>
      <c r="E39" s="25" t="str">
        <f aca="false">IF(D39=0,"",D39-B39)</f>
        <v/>
      </c>
      <c r="F39" s="30" t="str">
        <f aca="false">IF(OR($C$118=0,B39=""),"",B39/$C$118)</f>
        <v/>
      </c>
    </row>
    <row r="40" customFormat="false" ht="15" hidden="false" customHeight="false" outlineLevel="0" collapsed="false">
      <c r="A40" s="41" t="str">
        <f aca="false">IF(Január!A40="","",Január!A40)</f>
        <v>Egyéb élelmiszer, bevásárlás</v>
      </c>
      <c r="B40" s="42"/>
      <c r="C40" s="25"/>
      <c r="D40" s="42"/>
      <c r="E40" s="25" t="str">
        <f aca="false">IF(D40=0,"",D40-B40)</f>
        <v/>
      </c>
      <c r="F40" s="30" t="str">
        <f aca="false">IF(OR($C$118=0,B40=""),"",B40/$C$118)</f>
        <v/>
      </c>
    </row>
    <row r="41" customFormat="false" ht="15" hidden="false" customHeight="false" outlineLevel="0" collapsed="false">
      <c r="A41" s="41" t="str">
        <f aca="false">IF(Január!A41="","",Január!A41)</f>
        <v/>
      </c>
      <c r="B41" s="42"/>
      <c r="C41" s="25"/>
      <c r="D41" s="42"/>
      <c r="E41" s="25" t="str">
        <f aca="false">IF(D41=0,"",D41-B41)</f>
        <v/>
      </c>
      <c r="F41" s="30" t="str">
        <f aca="false">IF(OR($C$118=0,B41=""),"",B41/$C$118)</f>
        <v/>
      </c>
    </row>
    <row r="42" customFormat="false" ht="15" hidden="false" customHeight="false" outlineLevel="0" collapsed="false">
      <c r="A42" s="43" t="s">
        <v>92</v>
      </c>
      <c r="B42" s="35"/>
      <c r="C42" s="44" t="n">
        <f aca="false">SUM(B37:B41)</f>
        <v>0</v>
      </c>
      <c r="D42" s="44" t="n">
        <f aca="false">SUM(D37:D41)</f>
        <v>0</v>
      </c>
      <c r="E42" s="44" t="str">
        <f aca="false">IF(D42=0,"",D42-C42)</f>
        <v/>
      </c>
      <c r="F42" s="45" t="str">
        <f aca="false">IF(OR($C$118=0,C42=""),"",C42/$C$118)</f>
        <v/>
      </c>
    </row>
    <row r="43" customFormat="false" ht="15" hidden="false" customHeight="false" outlineLevel="0" collapsed="false">
      <c r="A43" s="39" t="s">
        <v>45</v>
      </c>
      <c r="B43" s="40"/>
      <c r="C43" s="40"/>
      <c r="D43" s="40"/>
      <c r="E43" s="40"/>
      <c r="F43" s="40"/>
    </row>
    <row r="44" customFormat="false" ht="15" hidden="false" customHeight="false" outlineLevel="0" collapsed="false">
      <c r="A44" s="41" t="str">
        <f aca="false">IF(Január!A44="","",Január!A44)</f>
        <v>Lakásbiztosítás</v>
      </c>
      <c r="B44" s="42"/>
      <c r="C44" s="25"/>
      <c r="D44" s="42"/>
      <c r="E44" s="25" t="str">
        <f aca="false">IF(D44=0,"",D44-B44)</f>
        <v/>
      </c>
      <c r="F44" s="30" t="str">
        <f aca="false">IF(OR($C$118=0,B44=""),"",B44/$C$118)</f>
        <v/>
      </c>
    </row>
    <row r="45" customFormat="false" ht="15" hidden="false" customHeight="false" outlineLevel="0" collapsed="false">
      <c r="A45" s="41" t="str">
        <f aca="false">IF(Január!A45="","",Január!A45)</f>
        <v>Életbiztosítás</v>
      </c>
      <c r="B45" s="42"/>
      <c r="C45" s="25"/>
      <c r="D45" s="42"/>
      <c r="E45" s="25" t="str">
        <f aca="false">IF(D45=0,"",D45-B45)</f>
        <v/>
      </c>
      <c r="F45" s="30" t="str">
        <f aca="false">IF(OR($C$118=0,B45=""),"",B45/$C$118)</f>
        <v/>
      </c>
    </row>
    <row r="46" customFormat="false" ht="15" hidden="false" customHeight="false" outlineLevel="0" collapsed="false">
      <c r="A46" s="41" t="str">
        <f aca="false">IF(Január!A46="","",Január!A46)</f>
        <v>Baleset- és betegségbiztosítás</v>
      </c>
      <c r="B46" s="42"/>
      <c r="C46" s="25"/>
      <c r="D46" s="42"/>
      <c r="E46" s="25" t="str">
        <f aca="false">IF(D46=0,"",D46-B46)</f>
        <v/>
      </c>
      <c r="F46" s="30" t="str">
        <f aca="false">IF(OR($C$118=0,B46=""),"",B46/$C$118)</f>
        <v/>
      </c>
    </row>
    <row r="47" customFormat="false" ht="15" hidden="false" customHeight="false" outlineLevel="0" collapsed="false">
      <c r="A47" s="41" t="str">
        <f aca="false">IF(Január!A47="","",Január!A47)</f>
        <v>Egészségbiztosítás</v>
      </c>
      <c r="B47" s="42"/>
      <c r="C47" s="25"/>
      <c r="D47" s="42"/>
      <c r="E47" s="25" t="str">
        <f aca="false">IF(D47=0,"",D47-B47)</f>
        <v/>
      </c>
      <c r="F47" s="30" t="str">
        <f aca="false">IF(OR($C$118=0,B47=""),"",B47/$C$118)</f>
        <v/>
      </c>
    </row>
    <row r="48" customFormat="false" ht="15" hidden="false" customHeight="false" outlineLevel="0" collapsed="false">
      <c r="A48" s="41" t="str">
        <f aca="false">IF(Január!A48="","",Január!A48)</f>
        <v>Hiteltörlesztés</v>
      </c>
      <c r="B48" s="42"/>
      <c r="C48" s="25"/>
      <c r="D48" s="42"/>
      <c r="E48" s="25" t="str">
        <f aca="false">IF(D48=0,"",D48-B48)</f>
        <v/>
      </c>
      <c r="F48" s="30" t="str">
        <f aca="false">IF(OR($C$118=0,B48=""),"",B48/$C$118)</f>
        <v/>
      </c>
    </row>
    <row r="49" customFormat="false" ht="15" hidden="false" customHeight="false" outlineLevel="0" collapsed="false">
      <c r="A49" s="41" t="str">
        <f aca="false">IF(Január!A49="","",Január!A49)</f>
        <v>Egyéb szerződés</v>
      </c>
      <c r="B49" s="42"/>
      <c r="C49" s="25"/>
      <c r="D49" s="42"/>
      <c r="E49" s="25" t="str">
        <f aca="false">IF(D49=0,"",D49-B49)</f>
        <v/>
      </c>
      <c r="F49" s="30" t="str">
        <f aca="false">IF(OR($C$118=0,B49=""),"",B49/$C$118)</f>
        <v/>
      </c>
    </row>
    <row r="50" customFormat="false" ht="15" hidden="false" customHeight="false" outlineLevel="0" collapsed="false">
      <c r="A50" s="41" t="str">
        <f aca="false">IF(Január!A50="","",Január!A50)</f>
        <v/>
      </c>
      <c r="B50" s="42"/>
      <c r="C50" s="25"/>
      <c r="D50" s="42"/>
      <c r="E50" s="25" t="str">
        <f aca="false">IF(D50=0,"",D50-B50)</f>
        <v/>
      </c>
      <c r="F50" s="30" t="str">
        <f aca="false">IF(OR($C$118=0,B50=""),"",B50/$C$118)</f>
        <v/>
      </c>
    </row>
    <row r="51" customFormat="false" ht="15" hidden="false" customHeight="false" outlineLevel="0" collapsed="false">
      <c r="A51" s="41" t="str">
        <f aca="false">IF(Január!A51="","",Január!A51)</f>
        <v/>
      </c>
      <c r="B51" s="42"/>
      <c r="C51" s="25"/>
      <c r="D51" s="42"/>
      <c r="E51" s="25" t="str">
        <f aca="false">IF(D51=0,"",D51-B51)</f>
        <v/>
      </c>
      <c r="F51" s="30" t="str">
        <f aca="false">IF(OR($C$118=0,B51=""),"",B51/$C$118)</f>
        <v/>
      </c>
    </row>
    <row r="52" customFormat="false" ht="15" hidden="false" customHeight="false" outlineLevel="0" collapsed="false">
      <c r="A52" s="43" t="s">
        <v>99</v>
      </c>
      <c r="B52" s="35"/>
      <c r="C52" s="44" t="n">
        <f aca="false">SUM(B44:B51)</f>
        <v>0</v>
      </c>
      <c r="D52" s="44" t="n">
        <f aca="false">SUM(D44:D51)</f>
        <v>0</v>
      </c>
      <c r="E52" s="44" t="str">
        <f aca="false">IF(D52=0,"",D52-C52)</f>
        <v/>
      </c>
      <c r="F52" s="45" t="str">
        <f aca="false">IF(OR($C$118=0,C52=""),"",C52/$C$118)</f>
        <v/>
      </c>
    </row>
    <row r="53" customFormat="false" ht="15" hidden="false" customHeight="false" outlineLevel="0" collapsed="false">
      <c r="A53" s="39" t="s">
        <v>46</v>
      </c>
      <c r="B53" s="40"/>
      <c r="C53" s="40"/>
      <c r="D53" s="40"/>
      <c r="E53" s="40"/>
      <c r="F53" s="40"/>
    </row>
    <row r="54" customFormat="false" ht="15" hidden="false" customHeight="false" outlineLevel="0" collapsed="false">
      <c r="A54" s="41" t="str">
        <f aca="false">IF(Január!A54="","",Január!A54)</f>
        <v>Üzemanyag, elektromos töltés</v>
      </c>
      <c r="B54" s="42"/>
      <c r="C54" s="25"/>
      <c r="D54" s="42"/>
      <c r="E54" s="25" t="str">
        <f aca="false">IF(D54=0,"",D54-B54)</f>
        <v/>
      </c>
      <c r="F54" s="30" t="str">
        <f aca="false">IF(OR($C$118=0,B54=""),"",B54/$C$118)</f>
        <v/>
      </c>
    </row>
    <row r="55" customFormat="false" ht="15" hidden="false" customHeight="false" outlineLevel="0" collapsed="false">
      <c r="A55" s="41" t="str">
        <f aca="false">IF(Január!A55="","",Január!A55)</f>
        <v>Parkolás, útdíj, autópálya-matrica</v>
      </c>
      <c r="B55" s="42"/>
      <c r="C55" s="25"/>
      <c r="D55" s="42"/>
      <c r="E55" s="25" t="str">
        <f aca="false">IF(D55=0,"",D55-B55)</f>
        <v/>
      </c>
      <c r="F55" s="30" t="str">
        <f aca="false">IF(OR($C$118=0,B55=""),"",B55/$C$118)</f>
        <v/>
      </c>
    </row>
    <row r="56" customFormat="false" ht="15" hidden="false" customHeight="false" outlineLevel="0" collapsed="false">
      <c r="A56" s="41" t="str">
        <f aca="false">IF(Január!A56="","",Január!A56)</f>
        <v>Szerviz, karbantartás, gumicsere</v>
      </c>
      <c r="B56" s="42"/>
      <c r="C56" s="25"/>
      <c r="D56" s="42"/>
      <c r="E56" s="25" t="str">
        <f aca="false">IF(D56=0,"",D56-B56)</f>
        <v/>
      </c>
      <c r="F56" s="30" t="str">
        <f aca="false">IF(OR($C$118=0,B56=""),"",B56/$C$118)</f>
        <v/>
      </c>
    </row>
    <row r="57" customFormat="false" ht="15" hidden="false" customHeight="false" outlineLevel="0" collapsed="false">
      <c r="A57" s="41" t="str">
        <f aca="false">IF(Január!A57="","",Január!A57)</f>
        <v>KGFB (kötelező biztosítás)</v>
      </c>
      <c r="B57" s="42"/>
      <c r="C57" s="25"/>
      <c r="D57" s="42"/>
      <c r="E57" s="25" t="str">
        <f aca="false">IF(D57=0,"",D57-B57)</f>
        <v/>
      </c>
      <c r="F57" s="30" t="str">
        <f aca="false">IF(OR($C$118=0,B57=""),"",B57/$C$118)</f>
        <v/>
      </c>
    </row>
    <row r="58" customFormat="false" ht="15" hidden="false" customHeight="false" outlineLevel="0" collapsed="false">
      <c r="A58" s="41" t="str">
        <f aca="false">IF(Január!A58="","",Január!A58)</f>
        <v>CASCO</v>
      </c>
      <c r="B58" s="42"/>
      <c r="C58" s="25"/>
      <c r="D58" s="42"/>
      <c r="E58" s="25" t="str">
        <f aca="false">IF(D58=0,"",D58-B58)</f>
        <v/>
      </c>
      <c r="F58" s="30" t="str">
        <f aca="false">IF(OR($C$118=0,B58=""),"",B58/$C$118)</f>
        <v/>
      </c>
    </row>
    <row r="59" customFormat="false" ht="15" hidden="false" customHeight="false" outlineLevel="0" collapsed="false">
      <c r="A59" s="41" t="str">
        <f aca="false">IF(Január!A59="","",Január!A59)</f>
        <v>Gépjárműadó</v>
      </c>
      <c r="B59" s="42"/>
      <c r="C59" s="25"/>
      <c r="D59" s="42"/>
      <c r="E59" s="25" t="str">
        <f aca="false">IF(D59=0,"",D59-B59)</f>
        <v/>
      </c>
      <c r="F59" s="30" t="str">
        <f aca="false">IF(OR($C$118=0,B59=""),"",B59/$C$118)</f>
        <v/>
      </c>
    </row>
    <row r="60" customFormat="false" ht="15" hidden="false" customHeight="false" outlineLevel="0" collapsed="false">
      <c r="A60" s="41" t="str">
        <f aca="false">IF(Január!A60="","",Január!A60)</f>
        <v>Autóhitel, lízing részlet</v>
      </c>
      <c r="B60" s="42"/>
      <c r="C60" s="25"/>
      <c r="D60" s="42"/>
      <c r="E60" s="25" t="str">
        <f aca="false">IF(D60=0,"",D60-B60)</f>
        <v/>
      </c>
      <c r="F60" s="30" t="str">
        <f aca="false">IF(OR($C$118=0,B60=""),"",B60/$C$118)</f>
        <v/>
      </c>
    </row>
    <row r="61" customFormat="false" ht="15" hidden="false" customHeight="false" outlineLevel="0" collapsed="false">
      <c r="A61" s="41" t="str">
        <f aca="false">IF(Január!A61="","",Január!A61)</f>
        <v>Autómosás, egyéb autós költség</v>
      </c>
      <c r="B61" s="42"/>
      <c r="C61" s="25"/>
      <c r="D61" s="42"/>
      <c r="E61" s="25" t="str">
        <f aca="false">IF(D61=0,"",D61-B61)</f>
        <v/>
      </c>
      <c r="F61" s="30" t="str">
        <f aca="false">IF(OR($C$118=0,B61=""),"",B61/$C$118)</f>
        <v/>
      </c>
    </row>
    <row r="62" customFormat="false" ht="15" hidden="false" customHeight="false" outlineLevel="0" collapsed="false">
      <c r="A62" s="41" t="str">
        <f aca="false">IF(Január!A62="","",Január!A62)</f>
        <v>Tömegközlekedés, bérlet</v>
      </c>
      <c r="B62" s="42"/>
      <c r="C62" s="25"/>
      <c r="D62" s="42"/>
      <c r="E62" s="25" t="str">
        <f aca="false">IF(D62=0,"",D62-B62)</f>
        <v/>
      </c>
      <c r="F62" s="30" t="str">
        <f aca="false">IF(OR($C$118=0,B62=""),"",B62/$C$118)</f>
        <v/>
      </c>
    </row>
    <row r="63" customFormat="false" ht="15" hidden="false" customHeight="false" outlineLevel="0" collapsed="false">
      <c r="A63" s="41" t="str">
        <f aca="false">IF(Január!A63="","",Január!A63)</f>
        <v>Taxi, roller, bicikli, közösségi közlekedés</v>
      </c>
      <c r="B63" s="42"/>
      <c r="C63" s="25"/>
      <c r="D63" s="42"/>
      <c r="E63" s="25" t="str">
        <f aca="false">IF(D63=0,"",D63-B63)</f>
        <v/>
      </c>
      <c r="F63" s="30" t="str">
        <f aca="false">IF(OR($C$118=0,B63=""),"",B63/$C$118)</f>
        <v/>
      </c>
    </row>
    <row r="64" customFormat="false" ht="15" hidden="false" customHeight="false" outlineLevel="0" collapsed="false">
      <c r="A64" s="41" t="str">
        <f aca="false">IF(Január!A64="","",Január!A64)</f>
        <v/>
      </c>
      <c r="B64" s="42"/>
      <c r="C64" s="25"/>
      <c r="D64" s="42"/>
      <c r="E64" s="25" t="str">
        <f aca="false">IF(D64=0,"",D64-B64)</f>
        <v/>
      </c>
      <c r="F64" s="30" t="str">
        <f aca="false">IF(OR($C$118=0,B64=""),"",B64/$C$118)</f>
        <v/>
      </c>
    </row>
    <row r="65" customFormat="false" ht="15" hidden="false" customHeight="false" outlineLevel="0" collapsed="false">
      <c r="A65" s="41" t="str">
        <f aca="false">IF(Január!A65="","",Január!A65)</f>
        <v/>
      </c>
      <c r="B65" s="42"/>
      <c r="C65" s="25"/>
      <c r="D65" s="42"/>
      <c r="E65" s="25" t="str">
        <f aca="false">IF(D65=0,"",D65-B65)</f>
        <v/>
      </c>
      <c r="F65" s="30" t="str">
        <f aca="false">IF(OR($C$118=0,B65=""),"",B65/$C$118)</f>
        <v/>
      </c>
    </row>
    <row r="66" customFormat="false" ht="15" hidden="false" customHeight="false" outlineLevel="0" collapsed="false">
      <c r="A66" s="43" t="s">
        <v>110</v>
      </c>
      <c r="B66" s="35"/>
      <c r="C66" s="44" t="n">
        <f aca="false">SUM(B54:B65)</f>
        <v>0</v>
      </c>
      <c r="D66" s="44" t="n">
        <f aca="false">SUM(D54:D65)</f>
        <v>0</v>
      </c>
      <c r="E66" s="44" t="str">
        <f aca="false">IF(D66=0,"",D66-C66)</f>
        <v/>
      </c>
      <c r="F66" s="45" t="str">
        <f aca="false">IF(OR($C$118=0,C66=""),"",C66/$C$118)</f>
        <v/>
      </c>
    </row>
    <row r="67" customFormat="false" ht="15" hidden="false" customHeight="false" outlineLevel="0" collapsed="false">
      <c r="A67" s="39" t="s">
        <v>47</v>
      </c>
      <c r="B67" s="40"/>
      <c r="C67" s="40"/>
      <c r="D67" s="40"/>
      <c r="E67" s="40"/>
      <c r="F67" s="40"/>
    </row>
    <row r="68" customFormat="false" ht="15" hidden="false" customHeight="false" outlineLevel="0" collapsed="false">
      <c r="A68" s="41" t="str">
        <f aca="false">IF(Január!A68="","",Január!A68)</f>
        <v>Gyerek ruha, cipő</v>
      </c>
      <c r="B68" s="42"/>
      <c r="C68" s="25"/>
      <c r="D68" s="42"/>
      <c r="E68" s="25" t="str">
        <f aca="false">IF(D68=0,"",D68-B68)</f>
        <v/>
      </c>
      <c r="F68" s="30" t="str">
        <f aca="false">IF(OR($C$118=0,B68=""),"",B68/$C$118)</f>
        <v/>
      </c>
    </row>
    <row r="69" customFormat="false" ht="15" hidden="false" customHeight="false" outlineLevel="0" collapsed="false">
      <c r="A69" s="41" t="str">
        <f aca="false">IF(Január!A69="","",Január!A69)</f>
        <v>Gyerek étkeztetés (menza)</v>
      </c>
      <c r="B69" s="42"/>
      <c r="C69" s="25"/>
      <c r="D69" s="42"/>
      <c r="E69" s="25" t="str">
        <f aca="false">IF(D69=0,"",D69-B69)</f>
        <v/>
      </c>
      <c r="F69" s="30" t="str">
        <f aca="false">IF(OR($C$118=0,B69=""),"",B69/$C$118)</f>
        <v/>
      </c>
    </row>
    <row r="70" customFormat="false" ht="15" hidden="false" customHeight="false" outlineLevel="0" collapsed="false">
      <c r="A70" s="41" t="str">
        <f aca="false">IF(Január!A70="","",Január!A70)</f>
        <v>Bölcsőde, óvoda, iskola díjai</v>
      </c>
      <c r="B70" s="42"/>
      <c r="C70" s="25"/>
      <c r="D70" s="42"/>
      <c r="E70" s="25" t="str">
        <f aca="false">IF(D70=0,"",D70-B70)</f>
        <v/>
      </c>
      <c r="F70" s="30" t="str">
        <f aca="false">IF(OR($C$118=0,B70=""),"",B70/$C$118)</f>
        <v/>
      </c>
    </row>
    <row r="71" customFormat="false" ht="15" hidden="false" customHeight="false" outlineLevel="0" collapsed="false">
      <c r="A71" s="41" t="str">
        <f aca="false">IF(Január!A71="","",Január!A71)</f>
        <v>Tankönyv, tanszer</v>
      </c>
      <c r="B71" s="42"/>
      <c r="C71" s="25"/>
      <c r="D71" s="42"/>
      <c r="E71" s="25" t="str">
        <f aca="false">IF(D71=0,"",D71-B71)</f>
        <v/>
      </c>
      <c r="F71" s="30" t="str">
        <f aca="false">IF(OR($C$118=0,B71=""),"",B71/$C$118)</f>
        <v/>
      </c>
    </row>
    <row r="72" customFormat="false" ht="15" hidden="false" customHeight="false" outlineLevel="0" collapsed="false">
      <c r="A72" s="41" t="str">
        <f aca="false">IF(Január!A72="","",Január!A72)</f>
        <v>Különórák, edzések</v>
      </c>
      <c r="B72" s="42"/>
      <c r="C72" s="25"/>
      <c r="D72" s="42"/>
      <c r="E72" s="25" t="str">
        <f aca="false">IF(D72=0,"",D72-B72)</f>
        <v/>
      </c>
      <c r="F72" s="30" t="str">
        <f aca="false">IF(OR($C$118=0,B72=""),"",B72/$C$118)</f>
        <v/>
      </c>
    </row>
    <row r="73" customFormat="false" ht="15" hidden="false" customHeight="false" outlineLevel="0" collapsed="false">
      <c r="A73" s="41" t="str">
        <f aca="false">IF(Január!A73="","",Január!A73)</f>
        <v>Magánóra, korrepetálás</v>
      </c>
      <c r="B73" s="42"/>
      <c r="C73" s="25"/>
      <c r="D73" s="42"/>
      <c r="E73" s="25" t="str">
        <f aca="false">IF(D73=0,"",D73-B73)</f>
        <v/>
      </c>
      <c r="F73" s="30" t="str">
        <f aca="false">IF(OR($C$118=0,B73=""),"",B73/$C$118)</f>
        <v/>
      </c>
    </row>
    <row r="74" customFormat="false" ht="15" hidden="false" customHeight="false" outlineLevel="0" collapsed="false">
      <c r="A74" s="41" t="str">
        <f aca="false">IF(Január!A74="","",Január!A74)</f>
        <v>Zsebpénz</v>
      </c>
      <c r="B74" s="42"/>
      <c r="C74" s="25"/>
      <c r="D74" s="42"/>
      <c r="E74" s="25" t="str">
        <f aca="false">IF(D74=0,"",D74-B74)</f>
        <v/>
      </c>
      <c r="F74" s="30" t="str">
        <f aca="false">IF(OR($C$118=0,B74=""),"",B74/$C$118)</f>
        <v/>
      </c>
    </row>
    <row r="75" customFormat="false" ht="15" hidden="false" customHeight="false" outlineLevel="0" collapsed="false">
      <c r="A75" s="41" t="str">
        <f aca="false">IF(Január!A75="","",Január!A75)</f>
        <v>Játékok, szórakozás</v>
      </c>
      <c r="B75" s="42"/>
      <c r="C75" s="25"/>
      <c r="D75" s="42"/>
      <c r="E75" s="25" t="str">
        <f aca="false">IF(D75=0,"",D75-B75)</f>
        <v/>
      </c>
      <c r="F75" s="30" t="str">
        <f aca="false">IF(OR($C$118=0,B75=""),"",B75/$C$118)</f>
        <v/>
      </c>
    </row>
    <row r="76" customFormat="false" ht="15" hidden="false" customHeight="false" outlineLevel="0" collapsed="false">
      <c r="A76" s="41" t="str">
        <f aca="false">IF(Január!A76="","",Január!A76)</f>
        <v/>
      </c>
      <c r="B76" s="42"/>
      <c r="C76" s="25"/>
      <c r="D76" s="42"/>
      <c r="E76" s="25" t="str">
        <f aca="false">IF(D76=0,"",D76-B76)</f>
        <v/>
      </c>
      <c r="F76" s="30" t="str">
        <f aca="false">IF(OR($C$118=0,B76=""),"",B76/$C$118)</f>
        <v/>
      </c>
    </row>
    <row r="77" customFormat="false" ht="15" hidden="false" customHeight="false" outlineLevel="0" collapsed="false">
      <c r="A77" s="41" t="str">
        <f aca="false">IF(Január!A77="","",Január!A77)</f>
        <v/>
      </c>
      <c r="B77" s="42"/>
      <c r="C77" s="25"/>
      <c r="D77" s="42"/>
      <c r="E77" s="25" t="str">
        <f aca="false">IF(D77=0,"",D77-B77)</f>
        <v/>
      </c>
      <c r="F77" s="30" t="str">
        <f aca="false">IF(OR($C$118=0,B77=""),"",B77/$C$118)</f>
        <v/>
      </c>
    </row>
    <row r="78" customFormat="false" ht="15" hidden="false" customHeight="false" outlineLevel="0" collapsed="false">
      <c r="A78" s="41" t="str">
        <f aca="false">IF(Január!A78="","",Január!A78)</f>
        <v/>
      </c>
      <c r="B78" s="42"/>
      <c r="C78" s="25"/>
      <c r="D78" s="42"/>
      <c r="E78" s="25" t="str">
        <f aca="false">IF(D78=0,"",D78-B78)</f>
        <v/>
      </c>
      <c r="F78" s="30" t="str">
        <f aca="false">IF(OR($C$118=0,B78=""),"",B78/$C$118)</f>
        <v/>
      </c>
    </row>
    <row r="79" customFormat="false" ht="15" hidden="false" customHeight="false" outlineLevel="0" collapsed="false">
      <c r="A79" s="43" t="s">
        <v>119</v>
      </c>
      <c r="B79" s="35"/>
      <c r="C79" s="44" t="n">
        <f aca="false">SUM(B68:B78)</f>
        <v>0</v>
      </c>
      <c r="D79" s="44" t="n">
        <f aca="false">SUM(D68:D78)</f>
        <v>0</v>
      </c>
      <c r="E79" s="44" t="str">
        <f aca="false">IF(D79=0,"",D79-C79)</f>
        <v/>
      </c>
      <c r="F79" s="45" t="str">
        <f aca="false">IF(OR($C$118=0,C79=""),"",C79/$C$118)</f>
        <v/>
      </c>
    </row>
    <row r="80" customFormat="false" ht="15" hidden="false" customHeight="false" outlineLevel="0" collapsed="false">
      <c r="A80" s="39" t="s">
        <v>48</v>
      </c>
      <c r="B80" s="40"/>
      <c r="C80" s="40"/>
      <c r="D80" s="40"/>
      <c r="E80" s="40"/>
      <c r="F80" s="40"/>
    </row>
    <row r="81" customFormat="false" ht="15" hidden="false" customHeight="false" outlineLevel="0" collapsed="false">
      <c r="A81" s="41" t="str">
        <f aca="false">IF(Január!A81="","",Január!A81)</f>
        <v>Ruha</v>
      </c>
      <c r="B81" s="42"/>
      <c r="C81" s="25"/>
      <c r="D81" s="42"/>
      <c r="E81" s="25" t="str">
        <f aca="false">IF(D81=0,"",D81-B81)</f>
        <v/>
      </c>
      <c r="F81" s="30" t="str">
        <f aca="false">IF(OR($C$118=0,B81=""),"",B81/$C$118)</f>
        <v/>
      </c>
    </row>
    <row r="82" customFormat="false" ht="15" hidden="false" customHeight="false" outlineLevel="0" collapsed="false">
      <c r="A82" s="41" t="str">
        <f aca="false">IF(Január!A82="","",Január!A82)</f>
        <v>Cipő</v>
      </c>
      <c r="B82" s="42"/>
      <c r="C82" s="25"/>
      <c r="D82" s="42"/>
      <c r="E82" s="25" t="str">
        <f aca="false">IF(D82=0,"",D82-B82)</f>
        <v/>
      </c>
      <c r="F82" s="30" t="str">
        <f aca="false">IF(OR($C$118=0,B82=""),"",B82/$C$118)</f>
        <v/>
      </c>
    </row>
    <row r="83" customFormat="false" ht="15" hidden="false" customHeight="false" outlineLevel="0" collapsed="false">
      <c r="A83" s="41" t="str">
        <f aca="false">IF(Január!A83="","",Január!A83)</f>
        <v>Kiegészítők (táska, ékszer, óra)</v>
      </c>
      <c r="B83" s="42"/>
      <c r="C83" s="25"/>
      <c r="D83" s="42"/>
      <c r="E83" s="25" t="str">
        <f aca="false">IF(D83=0,"",D83-B83)</f>
        <v/>
      </c>
      <c r="F83" s="30" t="str">
        <f aca="false">IF(OR($C$118=0,B83=""),"",B83/$C$118)</f>
        <v/>
      </c>
    </row>
    <row r="84" customFormat="false" ht="15" hidden="false" customHeight="false" outlineLevel="0" collapsed="false">
      <c r="A84" s="41" t="str">
        <f aca="false">IF(Január!A84="","",Január!A84)</f>
        <v/>
      </c>
      <c r="B84" s="42"/>
      <c r="C84" s="25"/>
      <c r="D84" s="42"/>
      <c r="E84" s="25" t="str">
        <f aca="false">IF(D84=0,"",D84-B84)</f>
        <v/>
      </c>
      <c r="F84" s="30" t="str">
        <f aca="false">IF(OR($C$118=0,B84=""),"",B84/$C$118)</f>
        <v/>
      </c>
    </row>
    <row r="85" customFormat="false" ht="15" hidden="false" customHeight="false" outlineLevel="0" collapsed="false">
      <c r="A85" s="43" t="s">
        <v>123</v>
      </c>
      <c r="B85" s="35"/>
      <c r="C85" s="44" t="n">
        <f aca="false">SUM(B81:B84)</f>
        <v>0</v>
      </c>
      <c r="D85" s="44" t="n">
        <f aca="false">SUM(D81:D84)</f>
        <v>0</v>
      </c>
      <c r="E85" s="44" t="str">
        <f aca="false">IF(D85=0,"",D85-C85)</f>
        <v/>
      </c>
      <c r="F85" s="45" t="str">
        <f aca="false">IF(OR($C$118=0,C85=""),"",C85/$C$118)</f>
        <v/>
      </c>
    </row>
    <row r="86" customFormat="false" ht="15" hidden="false" customHeight="false" outlineLevel="0" collapsed="false">
      <c r="A86" s="39" t="s">
        <v>49</v>
      </c>
      <c r="B86" s="40"/>
      <c r="C86" s="40"/>
      <c r="D86" s="40"/>
      <c r="E86" s="40"/>
      <c r="F86" s="40"/>
    </row>
    <row r="87" customFormat="false" ht="15" hidden="false" customHeight="false" outlineLevel="0" collapsed="false">
      <c r="A87" s="41" t="str">
        <f aca="false">IF(Január!A87="","",Január!A87)</f>
        <v>Fodrász, borbély</v>
      </c>
      <c r="B87" s="42"/>
      <c r="C87" s="25"/>
      <c r="D87" s="42"/>
      <c r="E87" s="25" t="str">
        <f aca="false">IF(D87=0,"",D87-B87)</f>
        <v/>
      </c>
      <c r="F87" s="30" t="str">
        <f aca="false">IF(OR($C$118=0,B87=""),"",B87/$C$118)</f>
        <v/>
      </c>
    </row>
    <row r="88" customFormat="false" ht="15" hidden="false" customHeight="false" outlineLevel="0" collapsed="false">
      <c r="A88" s="41" t="str">
        <f aca="false">IF(Január!A88="","",Január!A88)</f>
        <v>Kozmetikus, manikűr, pedikűr</v>
      </c>
      <c r="B88" s="42"/>
      <c r="C88" s="25"/>
      <c r="D88" s="42"/>
      <c r="E88" s="25" t="str">
        <f aca="false">IF(D88=0,"",D88-B88)</f>
        <v/>
      </c>
      <c r="F88" s="30" t="str">
        <f aca="false">IF(OR($C$118=0,B88=""),"",B88/$C$118)</f>
        <v/>
      </c>
    </row>
    <row r="89" customFormat="false" ht="15" hidden="false" customHeight="false" outlineLevel="0" collapsed="false">
      <c r="A89" s="41" t="str">
        <f aca="false">IF(Január!A89="","",Január!A89)</f>
        <v>Kozmetikumok, parfüm</v>
      </c>
      <c r="B89" s="42"/>
      <c r="C89" s="25"/>
      <c r="D89" s="42"/>
      <c r="E89" s="25" t="str">
        <f aca="false">IF(D89=0,"",D89-B89)</f>
        <v/>
      </c>
      <c r="F89" s="30" t="str">
        <f aca="false">IF(OR($C$118=0,B89=""),"",B89/$C$118)</f>
        <v/>
      </c>
    </row>
    <row r="90" customFormat="false" ht="15" hidden="false" customHeight="false" outlineLevel="0" collapsed="false">
      <c r="A90" s="41" t="str">
        <f aca="false">IF(Január!A90="","",Január!A90)</f>
        <v>Edzés, sport, bérlet</v>
      </c>
      <c r="B90" s="42"/>
      <c r="C90" s="25"/>
      <c r="D90" s="42"/>
      <c r="E90" s="25" t="str">
        <f aca="false">IF(D90=0,"",D90-B90)</f>
        <v/>
      </c>
      <c r="F90" s="30" t="str">
        <f aca="false">IF(OR($C$118=0,B90=""),"",B90/$C$118)</f>
        <v/>
      </c>
    </row>
    <row r="91" customFormat="false" ht="15" hidden="false" customHeight="false" outlineLevel="0" collapsed="false">
      <c r="A91" s="41" t="str">
        <f aca="false">IF(Január!A91="","",Január!A91)</f>
        <v>Gyógyszer, vitamin</v>
      </c>
      <c r="B91" s="42"/>
      <c r="C91" s="25"/>
      <c r="D91" s="42"/>
      <c r="E91" s="25" t="str">
        <f aca="false">IF(D91=0,"",D91-B91)</f>
        <v/>
      </c>
      <c r="F91" s="30" t="str">
        <f aca="false">IF(OR($C$118=0,B91=""),"",B91/$C$118)</f>
        <v/>
      </c>
    </row>
    <row r="92" customFormat="false" ht="15" hidden="false" customHeight="false" outlineLevel="0" collapsed="false">
      <c r="A92" s="41" t="str">
        <f aca="false">IF(Január!A92="","",Január!A92)</f>
        <v>Orvos, fogorvos, magánrendelés</v>
      </c>
      <c r="B92" s="42"/>
      <c r="C92" s="25"/>
      <c r="D92" s="42"/>
      <c r="E92" s="25" t="str">
        <f aca="false">IF(D92=0,"",D92-B92)</f>
        <v/>
      </c>
      <c r="F92" s="30" t="str">
        <f aca="false">IF(OR($C$118=0,B92=""),"",B92/$C$118)</f>
        <v/>
      </c>
    </row>
    <row r="93" customFormat="false" ht="15" hidden="false" customHeight="false" outlineLevel="0" collapsed="false">
      <c r="A93" s="41" t="str">
        <f aca="false">IF(Január!A93="","",Január!A93)</f>
        <v/>
      </c>
      <c r="B93" s="42"/>
      <c r="C93" s="25"/>
      <c r="D93" s="42"/>
      <c r="E93" s="25" t="str">
        <f aca="false">IF(D93=0,"",D93-B93)</f>
        <v/>
      </c>
      <c r="F93" s="30" t="str">
        <f aca="false">IF(OR($C$118=0,B93=""),"",B93/$C$118)</f>
        <v/>
      </c>
    </row>
    <row r="94" customFormat="false" ht="15" hidden="false" customHeight="false" outlineLevel="0" collapsed="false">
      <c r="A94" s="43" t="s">
        <v>130</v>
      </c>
      <c r="B94" s="35"/>
      <c r="C94" s="44" t="n">
        <f aca="false">SUM(B87:B93)</f>
        <v>0</v>
      </c>
      <c r="D94" s="44" t="n">
        <f aca="false">SUM(D87:D93)</f>
        <v>0</v>
      </c>
      <c r="E94" s="44" t="str">
        <f aca="false">IF(D94=0,"",D94-C94)</f>
        <v/>
      </c>
      <c r="F94" s="45" t="str">
        <f aca="false">IF(OR($C$118=0,C94=""),"",C94/$C$118)</f>
        <v/>
      </c>
    </row>
    <row r="95" customFormat="false" ht="15" hidden="false" customHeight="false" outlineLevel="0" collapsed="false">
      <c r="A95" s="39" t="s">
        <v>50</v>
      </c>
      <c r="B95" s="40"/>
      <c r="C95" s="40"/>
      <c r="D95" s="40"/>
      <c r="E95" s="40"/>
      <c r="F95" s="40"/>
    </row>
    <row r="96" customFormat="false" ht="15" hidden="false" customHeight="false" outlineLevel="0" collapsed="false">
      <c r="A96" s="41" t="str">
        <f aca="false">IF(Január!A96="","",Január!A96)</f>
        <v>Cigaretta, dohány</v>
      </c>
      <c r="B96" s="42"/>
      <c r="C96" s="25"/>
      <c r="D96" s="42"/>
      <c r="E96" s="25" t="str">
        <f aca="false">IF(D96=0,"",D96-B96)</f>
        <v/>
      </c>
      <c r="F96" s="30" t="str">
        <f aca="false">IF(OR($C$118=0,B96=""),"",B96/$C$118)</f>
        <v/>
      </c>
    </row>
    <row r="97" customFormat="false" ht="15" hidden="false" customHeight="false" outlineLevel="0" collapsed="false">
      <c r="A97" s="41" t="str">
        <f aca="false">IF(Január!A97="","",Január!A97)</f>
        <v>E-cigaretta, hevített dohánytermék</v>
      </c>
      <c r="B97" s="42"/>
      <c r="C97" s="25"/>
      <c r="D97" s="42"/>
      <c r="E97" s="25" t="str">
        <f aca="false">IF(D97=0,"",D97-B97)</f>
        <v/>
      </c>
      <c r="F97" s="30" t="str">
        <f aca="false">IF(OR($C$118=0,B97=""),"",B97/$C$118)</f>
        <v/>
      </c>
    </row>
    <row r="98" customFormat="false" ht="15" hidden="false" customHeight="false" outlineLevel="0" collapsed="false">
      <c r="A98" s="41" t="str">
        <f aca="false">IF(Január!A98="","",Január!A98)</f>
        <v/>
      </c>
      <c r="B98" s="42"/>
      <c r="C98" s="25"/>
      <c r="D98" s="42"/>
      <c r="E98" s="25" t="str">
        <f aca="false">IF(D98=0,"",D98-B98)</f>
        <v/>
      </c>
      <c r="F98" s="30" t="str">
        <f aca="false">IF(OR($C$118=0,B98=""),"",B98/$C$118)</f>
        <v/>
      </c>
    </row>
    <row r="99" customFormat="false" ht="15" hidden="false" customHeight="false" outlineLevel="0" collapsed="false">
      <c r="A99" s="43" t="s">
        <v>133</v>
      </c>
      <c r="B99" s="35"/>
      <c r="C99" s="44" t="n">
        <f aca="false">SUM(B96:B98)</f>
        <v>0</v>
      </c>
      <c r="D99" s="44" t="n">
        <f aca="false">SUM(D96:D98)</f>
        <v>0</v>
      </c>
      <c r="E99" s="44" t="str">
        <f aca="false">IF(D99=0,"",D99-C99)</f>
        <v/>
      </c>
      <c r="F99" s="45" t="str">
        <f aca="false">IF(OR($C$118=0,C99=""),"",C99/$C$118)</f>
        <v/>
      </c>
    </row>
    <row r="100" customFormat="false" ht="15" hidden="false" customHeight="false" outlineLevel="0" collapsed="false">
      <c r="A100" s="39" t="s">
        <v>51</v>
      </c>
      <c r="B100" s="40"/>
      <c r="C100" s="40"/>
      <c r="D100" s="40"/>
      <c r="E100" s="40"/>
      <c r="F100" s="40"/>
    </row>
    <row r="101" customFormat="false" ht="15" hidden="false" customHeight="false" outlineLevel="0" collapsed="false">
      <c r="A101" s="41" t="str">
        <f aca="false">IF(Január!A101="","",Január!A101)</f>
        <v>Állateledel, jutalomfalat</v>
      </c>
      <c r="B101" s="42"/>
      <c r="C101" s="25"/>
      <c r="D101" s="42"/>
      <c r="E101" s="25" t="str">
        <f aca="false">IF(D101=0,"",D101-B101)</f>
        <v/>
      </c>
      <c r="F101" s="30" t="str">
        <f aca="false">IF(OR($C$118=0,B101=""),"",B101/$C$118)</f>
        <v/>
      </c>
    </row>
    <row r="102" customFormat="false" ht="15" hidden="false" customHeight="false" outlineLevel="0" collapsed="false">
      <c r="A102" s="41" t="str">
        <f aca="false">IF(Január!A102="","",Január!A102)</f>
        <v>Állatorvos, oltások, gyógyszer</v>
      </c>
      <c r="B102" s="42"/>
      <c r="C102" s="25"/>
      <c r="D102" s="42"/>
      <c r="E102" s="25" t="str">
        <f aca="false">IF(D102=0,"",D102-B102)</f>
        <v/>
      </c>
      <c r="F102" s="30" t="str">
        <f aca="false">IF(OR($C$118=0,B102=""),"",B102/$C$118)</f>
        <v/>
      </c>
    </row>
    <row r="103" customFormat="false" ht="15" hidden="false" customHeight="false" outlineLevel="0" collapsed="false">
      <c r="A103" s="41" t="str">
        <f aca="false">IF(Január!A103="","",Január!A103)</f>
        <v>Felszerelés, alom, játékok</v>
      </c>
      <c r="B103" s="42"/>
      <c r="C103" s="25"/>
      <c r="D103" s="42"/>
      <c r="E103" s="25" t="str">
        <f aca="false">IF(D103=0,"",D103-B103)</f>
        <v/>
      </c>
      <c r="F103" s="30" t="str">
        <f aca="false">IF(OR($C$118=0,B103=""),"",B103/$C$118)</f>
        <v/>
      </c>
    </row>
    <row r="104" customFormat="false" ht="15" hidden="false" customHeight="false" outlineLevel="0" collapsed="false">
      <c r="A104" s="41" t="str">
        <f aca="false">IF(Január!A104="","",Január!A104)</f>
        <v>Kisállat-kozmetika, panzió, kutyaiskola</v>
      </c>
      <c r="B104" s="42"/>
      <c r="C104" s="25"/>
      <c r="D104" s="42"/>
      <c r="E104" s="25" t="str">
        <f aca="false">IF(D104=0,"",D104-B104)</f>
        <v/>
      </c>
      <c r="F104" s="30" t="str">
        <f aca="false">IF(OR($C$118=0,B104=""),"",B104/$C$118)</f>
        <v/>
      </c>
    </row>
    <row r="105" customFormat="false" ht="15" hidden="false" customHeight="false" outlineLevel="0" collapsed="false">
      <c r="A105" s="41" t="str">
        <f aca="false">IF(Január!A105="","",Január!A105)</f>
        <v/>
      </c>
      <c r="B105" s="42"/>
      <c r="C105" s="25"/>
      <c r="D105" s="42"/>
      <c r="E105" s="25" t="str">
        <f aca="false">IF(D105=0,"",D105-B105)</f>
        <v/>
      </c>
      <c r="F105" s="30" t="str">
        <f aca="false">IF(OR($C$118=0,B105=""),"",B105/$C$118)</f>
        <v/>
      </c>
    </row>
    <row r="106" customFormat="false" ht="15" hidden="false" customHeight="false" outlineLevel="0" collapsed="false">
      <c r="A106" s="43" t="s">
        <v>138</v>
      </c>
      <c r="B106" s="35"/>
      <c r="C106" s="44" t="n">
        <f aca="false">SUM(B101:B105)</f>
        <v>0</v>
      </c>
      <c r="D106" s="44" t="n">
        <f aca="false">SUM(D101:D105)</f>
        <v>0</v>
      </c>
      <c r="E106" s="44" t="str">
        <f aca="false">IF(D106=0,"",D106-C106)</f>
        <v/>
      </c>
      <c r="F106" s="45" t="str">
        <f aca="false">IF(OR($C$118=0,C106=""),"",C106/$C$118)</f>
        <v/>
      </c>
    </row>
    <row r="107" customFormat="false" ht="15" hidden="false" customHeight="false" outlineLevel="0" collapsed="false">
      <c r="A107" s="39" t="s">
        <v>52</v>
      </c>
      <c r="B107" s="40"/>
      <c r="C107" s="40"/>
      <c r="D107" s="40"/>
      <c r="E107" s="40"/>
      <c r="F107" s="40"/>
    </row>
    <row r="108" customFormat="false" ht="15" hidden="false" customHeight="false" outlineLevel="0" collapsed="false">
      <c r="A108" s="41" t="str">
        <f aca="false">IF(Január!A108="","",Január!A108)</f>
        <v>Hobbi</v>
      </c>
      <c r="B108" s="42"/>
      <c r="C108" s="25"/>
      <c r="D108" s="42"/>
      <c r="E108" s="25" t="str">
        <f aca="false">IF(D108=0,"",D108-B108)</f>
        <v/>
      </c>
      <c r="F108" s="30" t="str">
        <f aca="false">IF(OR($C$118=0,B108=""),"",B108/$C$118)</f>
        <v/>
      </c>
    </row>
    <row r="109" customFormat="false" ht="15" hidden="false" customHeight="false" outlineLevel="0" collapsed="false">
      <c r="A109" s="41" t="str">
        <f aca="false">IF(Január!A109="","",Január!A109)</f>
        <v>Szórakozás (mozi, színház, koncert, étterem)</v>
      </c>
      <c r="B109" s="42"/>
      <c r="C109" s="25"/>
      <c r="D109" s="42"/>
      <c r="E109" s="25" t="str">
        <f aca="false">IF(D109=0,"",D109-B109)</f>
        <v/>
      </c>
      <c r="F109" s="30" t="str">
        <f aca="false">IF(OR($C$118=0,B109=""),"",B109/$C$118)</f>
        <v/>
      </c>
    </row>
    <row r="110" customFormat="false" ht="15" hidden="false" customHeight="false" outlineLevel="0" collapsed="false">
      <c r="A110" s="41" t="str">
        <f aca="false">IF(Január!A110="","",Január!A110)</f>
        <v>Nyaralás, utazás</v>
      </c>
      <c r="B110" s="42"/>
      <c r="C110" s="25"/>
      <c r="D110" s="42"/>
      <c r="E110" s="25" t="str">
        <f aca="false">IF(D110=0,"",D110-B110)</f>
        <v/>
      </c>
      <c r="F110" s="30" t="str">
        <f aca="false">IF(OR($C$118=0,B110=""),"",B110/$C$118)</f>
        <v/>
      </c>
    </row>
    <row r="111" customFormat="false" ht="15" hidden="false" customHeight="false" outlineLevel="0" collapsed="false">
      <c r="A111" s="41" t="str">
        <f aca="false">IF(Január!A111="","",Január!A111)</f>
        <v/>
      </c>
      <c r="B111" s="42"/>
      <c r="C111" s="25"/>
      <c r="D111" s="42"/>
      <c r="E111" s="25" t="str">
        <f aca="false">IF(D111=0,"",D111-B111)</f>
        <v/>
      </c>
      <c r="F111" s="30" t="str">
        <f aca="false">IF(OR($C$118=0,B111=""),"",B111/$C$118)</f>
        <v/>
      </c>
    </row>
    <row r="112" customFormat="false" ht="15" hidden="false" customHeight="false" outlineLevel="0" collapsed="false">
      <c r="A112" s="43" t="s">
        <v>142</v>
      </c>
      <c r="B112" s="35"/>
      <c r="C112" s="44" t="n">
        <f aca="false">SUM(B108:B111)</f>
        <v>0</v>
      </c>
      <c r="D112" s="44" t="n">
        <f aca="false">SUM(D108:D111)</f>
        <v>0</v>
      </c>
      <c r="E112" s="44" t="str">
        <f aca="false">IF(D112=0,"",D112-C112)</f>
        <v/>
      </c>
      <c r="F112" s="45" t="str">
        <f aca="false">IF(OR($C$118=0,C112=""),"",C112/$C$118)</f>
        <v/>
      </c>
    </row>
    <row r="113" customFormat="false" ht="15" hidden="false" customHeight="false" outlineLevel="0" collapsed="false">
      <c r="A113" s="39" t="s">
        <v>53</v>
      </c>
      <c r="B113" s="40"/>
      <c r="C113" s="40"/>
      <c r="D113" s="40"/>
      <c r="E113" s="40"/>
      <c r="F113" s="40"/>
    </row>
    <row r="114" customFormat="false" ht="15" hidden="false" customHeight="false" outlineLevel="0" collapsed="false">
      <c r="A114" s="41" t="str">
        <f aca="false">IF(Január!A114="","",Január!A114)</f>
        <v>Ünnepek, ajándékok</v>
      </c>
      <c r="B114" s="42"/>
      <c r="C114" s="25"/>
      <c r="D114" s="42"/>
      <c r="E114" s="25" t="str">
        <f aca="false">IF(D114=0,"",D114-B114)</f>
        <v/>
      </c>
      <c r="F114" s="30" t="str">
        <f aca="false">IF(OR($C$118=0,B114=""),"",B114/$C$118)</f>
        <v/>
      </c>
    </row>
    <row r="115" customFormat="false" ht="15" hidden="false" customHeight="false" outlineLevel="0" collapsed="false">
      <c r="A115" s="41" t="str">
        <f aca="false">IF(Január!A115="","",Január!A115)</f>
        <v>Egyéb kiadás</v>
      </c>
      <c r="B115" s="42"/>
      <c r="C115" s="25"/>
      <c r="D115" s="42"/>
      <c r="E115" s="25" t="str">
        <f aca="false">IF(D115=0,"",D115-B115)</f>
        <v/>
      </c>
      <c r="F115" s="30" t="str">
        <f aca="false">IF(OR($C$118=0,B115=""),"",B115/$C$118)</f>
        <v/>
      </c>
    </row>
    <row r="116" customFormat="false" ht="15" hidden="false" customHeight="false" outlineLevel="0" collapsed="false">
      <c r="A116" s="41" t="str">
        <f aca="false">IF(Január!A116="","",Január!A116)</f>
        <v/>
      </c>
      <c r="B116" s="42"/>
      <c r="C116" s="25"/>
      <c r="D116" s="42"/>
      <c r="E116" s="25" t="str">
        <f aca="false">IF(D116=0,"",D116-B116)</f>
        <v/>
      </c>
      <c r="F116" s="30" t="str">
        <f aca="false">IF(OR($C$118=0,B116=""),"",B116/$C$118)</f>
        <v/>
      </c>
    </row>
    <row r="117" customFormat="false" ht="15" hidden="false" customHeight="false" outlineLevel="0" collapsed="false">
      <c r="A117" s="43" t="s">
        <v>145</v>
      </c>
      <c r="B117" s="35"/>
      <c r="C117" s="44" t="n">
        <f aca="false">SUM(B114:B116)</f>
        <v>0</v>
      </c>
      <c r="D117" s="44" t="n">
        <f aca="false">SUM(D114:D116)</f>
        <v>0</v>
      </c>
      <c r="E117" s="44" t="str">
        <f aca="false">IF(D117=0,"",D117-C117)</f>
        <v/>
      </c>
      <c r="F117" s="45" t="str">
        <f aca="false">IF(OR($C$118=0,C117=""),"",C117/$C$118)</f>
        <v/>
      </c>
    </row>
    <row r="118" customFormat="false" ht="15" hidden="false" customHeight="false" outlineLevel="0" collapsed="false">
      <c r="A118" s="33" t="s">
        <v>146</v>
      </c>
      <c r="B118" s="33"/>
      <c r="C118" s="50" t="n">
        <f aca="false">C35+C42+C52+C66+C79+C85+C94+C99+C106+C112+C117</f>
        <v>0</v>
      </c>
      <c r="D118" s="50" t="n">
        <f aca="false">D35+D42+D52+D66+D79+D85+D94+D99+D106+D112+D117</f>
        <v>0</v>
      </c>
      <c r="E118" s="50" t="str">
        <f aca="false">IF(D118=0,"",D118-C118)</f>
        <v/>
      </c>
      <c r="F118" s="51" t="str">
        <f aca="false">IF($C$16=0,"",C118/$C$16)</f>
        <v/>
      </c>
    </row>
    <row r="119" customFormat="false" ht="15" hidden="false" customHeight="false" outlineLevel="0" collapsed="false">
      <c r="A119" s="8" t="s">
        <v>147</v>
      </c>
      <c r="B119" s="8"/>
      <c r="C119" s="8" t="s">
        <v>148</v>
      </c>
      <c r="D119" s="8" t="s">
        <v>149</v>
      </c>
      <c r="E119" s="8"/>
      <c r="F119" s="8" t="s">
        <v>150</v>
      </c>
    </row>
    <row r="120" customFormat="false" ht="15" hidden="false" customHeight="false" outlineLevel="0" collapsed="false">
      <c r="A120" s="13" t="s">
        <v>151</v>
      </c>
      <c r="B120" s="52"/>
      <c r="C120" s="53" t="n">
        <f aca="false">C16</f>
        <v>0</v>
      </c>
      <c r="D120" s="53" t="n">
        <f aca="false">D16</f>
        <v>0</v>
      </c>
      <c r="E120" s="52"/>
      <c r="F120" s="54" t="str">
        <f aca="false">IF($C$120=0,"",C120/$C$120)</f>
        <v/>
      </c>
    </row>
    <row r="121" customFormat="false" ht="15" hidden="false" customHeight="false" outlineLevel="0" collapsed="false">
      <c r="A121" s="17" t="s">
        <v>152</v>
      </c>
      <c r="B121" s="52"/>
      <c r="C121" s="53" t="n">
        <f aca="false">C28</f>
        <v>0</v>
      </c>
      <c r="D121" s="53" t="n">
        <f aca="false">D28</f>
        <v>0</v>
      </c>
      <c r="E121" s="52"/>
      <c r="F121" s="54" t="str">
        <f aca="false">IF($C$120=0,"",C121/$C$120)</f>
        <v/>
      </c>
    </row>
    <row r="122" customFormat="false" ht="15" hidden="false" customHeight="false" outlineLevel="0" collapsed="false">
      <c r="A122" s="18" t="s">
        <v>153</v>
      </c>
      <c r="B122" s="52"/>
      <c r="C122" s="53" t="n">
        <f aca="false">C118</f>
        <v>0</v>
      </c>
      <c r="D122" s="53" t="n">
        <f aca="false">D118</f>
        <v>0</v>
      </c>
      <c r="E122" s="52"/>
      <c r="F122" s="54" t="str">
        <f aca="false">IF($C$120=0,"",C122/$C$120)</f>
        <v/>
      </c>
    </row>
    <row r="123" customFormat="false" ht="15" hidden="false" customHeight="false" outlineLevel="0" collapsed="false">
      <c r="A123" s="33" t="s">
        <v>154</v>
      </c>
      <c r="B123" s="33"/>
      <c r="C123" s="50" t="n">
        <f aca="false">C121+C122</f>
        <v>0</v>
      </c>
      <c r="D123" s="50" t="n">
        <f aca="false">D121+D122</f>
        <v>0</v>
      </c>
      <c r="E123" s="33"/>
      <c r="F123" s="51" t="str">
        <f aca="false">IF($C$120=0,"",C123/$C$120)</f>
        <v/>
      </c>
    </row>
    <row r="124" customFormat="false" ht="15" hidden="false" customHeight="false" outlineLevel="0" collapsed="false">
      <c r="A124" s="19" t="s">
        <v>155</v>
      </c>
      <c r="B124" s="19"/>
      <c r="C124" s="20" t="n">
        <f aca="false">C120-C123</f>
        <v>0</v>
      </c>
      <c r="D124" s="20" t="n">
        <f aca="false">D120-D123</f>
        <v>0</v>
      </c>
      <c r="E124" s="19"/>
      <c r="F124" s="55" t="str">
        <f aca="false">IF($C$120=0,"",C124/$C$120)</f>
        <v/>
      </c>
    </row>
    <row r="125" customFormat="false" ht="15" hidden="false" customHeight="false" outlineLevel="0" collapsed="false">
      <c r="A125" s="24" t="s">
        <v>156</v>
      </c>
      <c r="B125" s="24"/>
      <c r="C125" s="23" t="str">
        <f aca="false">IF(C120=0,"–",C121/C120)</f>
        <v>–</v>
      </c>
      <c r="D125" s="23" t="str">
        <f aca="false">IF(D120=0,"–",D121/D120)</f>
        <v>–</v>
      </c>
      <c r="E125" s="24"/>
      <c r="F125" s="24"/>
    </row>
    <row r="126" customFormat="false" ht="15" hidden="false" customHeight="false" outlineLevel="0" collapsed="false">
      <c r="A126" s="36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7" t="str">
        <f aca="false">" 💰 HAVI KÖLTSÉGVETÉS — "&amp;UPPER("Március")&amp;" "&amp;'📊 Éves Összesítő'!$B$2</f>
        <v> 💰 HAVI KÖLTSÉGVETÉS — MÁRCIUS 2026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37" t="s">
        <v>56</v>
      </c>
      <c r="B2" s="38" t="s">
        <v>57</v>
      </c>
      <c r="C2" s="38" t="s">
        <v>58</v>
      </c>
      <c r="D2" s="38" t="s">
        <v>59</v>
      </c>
      <c r="E2" s="38" t="s">
        <v>60</v>
      </c>
      <c r="F2" s="38" t="s">
        <v>33</v>
      </c>
    </row>
    <row r="3" customFormat="false" ht="18" hidden="false" customHeight="true" outlineLevel="0" collapsed="false">
      <c r="A3" s="26" t="s">
        <v>61</v>
      </c>
      <c r="B3" s="26"/>
      <c r="C3" s="26"/>
      <c r="D3" s="26"/>
      <c r="E3" s="26"/>
      <c r="F3" s="26"/>
    </row>
    <row r="4" customFormat="false" ht="15" hidden="false" customHeight="false" outlineLevel="0" collapsed="false">
      <c r="A4" s="39" t="s">
        <v>62</v>
      </c>
      <c r="B4" s="40"/>
      <c r="C4" s="40"/>
      <c r="D4" s="40"/>
      <c r="E4" s="40"/>
      <c r="F4" s="40"/>
    </row>
    <row r="5" customFormat="false" ht="15" hidden="false" customHeight="false" outlineLevel="0" collapsed="false">
      <c r="A5" s="41" t="str">
        <f aca="false">IF(Február!A5="","",Február!A5)</f>
        <v>Munkabér 1 (pl. saját)</v>
      </c>
      <c r="B5" s="42"/>
      <c r="C5" s="25"/>
      <c r="D5" s="42"/>
      <c r="E5" s="25" t="str">
        <f aca="false">IF(D5=0,"",B5-D5)</f>
        <v/>
      </c>
      <c r="F5" s="30" t="str">
        <f aca="false">IF(OR($C$16=0,B5=""),"",B5/$C$16)</f>
        <v/>
      </c>
    </row>
    <row r="6" customFormat="false" ht="15" hidden="false" customHeight="false" outlineLevel="0" collapsed="false">
      <c r="A6" s="41" t="str">
        <f aca="false">IF(Február!A6="","",Február!A6)</f>
        <v>Munkabér 2 (pl. partner)</v>
      </c>
      <c r="B6" s="42"/>
      <c r="C6" s="25"/>
      <c r="D6" s="42"/>
      <c r="E6" s="25" t="str">
        <f aca="false">IF(D6=0,"",B6-D6)</f>
        <v/>
      </c>
      <c r="F6" s="30" t="str">
        <f aca="false">IF(OR($C$16=0,B6=""),"",B6/$C$16)</f>
        <v/>
      </c>
    </row>
    <row r="7" customFormat="false" ht="15" hidden="false" customHeight="false" outlineLevel="0" collapsed="false">
      <c r="A7" s="41" t="str">
        <f aca="false">IF(Február!A7="","",Február!A7)</f>
        <v>Vállalkozói bevétel</v>
      </c>
      <c r="B7" s="42"/>
      <c r="C7" s="25"/>
      <c r="D7" s="42"/>
      <c r="E7" s="25" t="str">
        <f aca="false">IF(D7=0,"",B7-D7)</f>
        <v/>
      </c>
      <c r="F7" s="30" t="str">
        <f aca="false">IF(OR($C$16=0,B7=""),"",B7/$C$16)</f>
        <v/>
      </c>
    </row>
    <row r="8" customFormat="false" ht="15" hidden="false" customHeight="false" outlineLevel="0" collapsed="false">
      <c r="A8" s="41" t="str">
        <f aca="false">IF(Február!A8="","",Február!A8)</f>
        <v/>
      </c>
      <c r="B8" s="42"/>
      <c r="C8" s="25"/>
      <c r="D8" s="42"/>
      <c r="E8" s="25" t="str">
        <f aca="false">IF(D8=0,"",B8-D8)</f>
        <v/>
      </c>
      <c r="F8" s="30" t="str">
        <f aca="false">IF(OR($C$16=0,B8=""),"",B8/$C$16)</f>
        <v/>
      </c>
    </row>
    <row r="9" customFormat="false" ht="15" hidden="false" customHeight="false" outlineLevel="0" collapsed="false">
      <c r="A9" s="43" t="s">
        <v>66</v>
      </c>
      <c r="B9" s="35"/>
      <c r="C9" s="44" t="n">
        <f aca="false">SUM(B5:B8)</f>
        <v>0</v>
      </c>
      <c r="D9" s="44" t="n">
        <f aca="false">SUM(D5:D8)</f>
        <v>0</v>
      </c>
      <c r="E9" s="44" t="str">
        <f aca="false">IF(D9=0,"",C9-D9)</f>
        <v/>
      </c>
      <c r="F9" s="45" t="str">
        <f aca="false">IF(OR($C$16=0,C9=""),"",C9/$C$16)</f>
        <v/>
      </c>
    </row>
    <row r="10" customFormat="false" ht="15" hidden="false" customHeight="false" outlineLevel="0" collapsed="false">
      <c r="A10" s="39" t="s">
        <v>67</v>
      </c>
      <c r="B10" s="40"/>
      <c r="C10" s="40"/>
      <c r="D10" s="40"/>
      <c r="E10" s="40"/>
      <c r="F10" s="40"/>
    </row>
    <row r="11" customFormat="false" ht="15" hidden="false" customHeight="false" outlineLevel="0" collapsed="false">
      <c r="A11" s="41" t="str">
        <f aca="false">IF(Február!A11="","",Február!A11)</f>
        <v>CSED / GYED / GYES</v>
      </c>
      <c r="B11" s="42"/>
      <c r="C11" s="25"/>
      <c r="D11" s="42"/>
      <c r="E11" s="25" t="str">
        <f aca="false">IF(D11=0,"",B11-D11)</f>
        <v/>
      </c>
      <c r="F11" s="30" t="str">
        <f aca="false">IF(OR($C$16=0,B11=""),"",B11/$C$16)</f>
        <v/>
      </c>
    </row>
    <row r="12" customFormat="false" ht="15" hidden="false" customHeight="false" outlineLevel="0" collapsed="false">
      <c r="A12" s="41" t="str">
        <f aca="false">IF(Február!A12="","",Február!A12)</f>
        <v>Családi pótlék</v>
      </c>
      <c r="B12" s="42"/>
      <c r="C12" s="25"/>
      <c r="D12" s="42"/>
      <c r="E12" s="25" t="str">
        <f aca="false">IF(D12=0,"",B12-D12)</f>
        <v/>
      </c>
      <c r="F12" s="30" t="str">
        <f aca="false">IF(OR($C$16=0,B12=""),"",B12/$C$16)</f>
        <v/>
      </c>
    </row>
    <row r="13" customFormat="false" ht="15" hidden="false" customHeight="false" outlineLevel="0" collapsed="false">
      <c r="A13" s="41" t="str">
        <f aca="false">IF(Február!A13="","",Február!A13)</f>
        <v>Egyéb (lakáskiadás, bónusz stb.)</v>
      </c>
      <c r="B13" s="42"/>
      <c r="C13" s="25"/>
      <c r="D13" s="42"/>
      <c r="E13" s="25" t="str">
        <f aca="false">IF(D13=0,"",B13-D13)</f>
        <v/>
      </c>
      <c r="F13" s="30" t="str">
        <f aca="false">IF(OR($C$16=0,B13=""),"",B13/$C$16)</f>
        <v/>
      </c>
    </row>
    <row r="14" customFormat="false" ht="15" hidden="false" customHeight="false" outlineLevel="0" collapsed="false">
      <c r="A14" s="41" t="str">
        <f aca="false">IF(Február!A14="","",Február!A14)</f>
        <v/>
      </c>
      <c r="B14" s="42"/>
      <c r="C14" s="25"/>
      <c r="D14" s="42"/>
      <c r="E14" s="25" t="str">
        <f aca="false">IF(D14=0,"",B14-D14)</f>
        <v/>
      </c>
      <c r="F14" s="30" t="str">
        <f aca="false">IF(OR($C$16=0,B14=""),"",B14/$C$16)</f>
        <v/>
      </c>
    </row>
    <row r="15" customFormat="false" ht="15" hidden="false" customHeight="false" outlineLevel="0" collapsed="false">
      <c r="A15" s="43" t="s">
        <v>71</v>
      </c>
      <c r="B15" s="35"/>
      <c r="C15" s="44" t="n">
        <f aca="false">SUM(B11:B14)</f>
        <v>0</v>
      </c>
      <c r="D15" s="44" t="n">
        <f aca="false">SUM(D11:D14)</f>
        <v>0</v>
      </c>
      <c r="E15" s="44" t="str">
        <f aca="false">IF(D15=0,"",C15-D15)</f>
        <v/>
      </c>
      <c r="F15" s="45" t="str">
        <f aca="false">IF(OR($C$16=0,C15=""),"",C15/$C$16)</f>
        <v/>
      </c>
    </row>
    <row r="16" customFormat="false" ht="15" hidden="false" customHeight="false" outlineLevel="0" collapsed="false">
      <c r="A16" s="26" t="s">
        <v>72</v>
      </c>
      <c r="B16" s="26"/>
      <c r="C16" s="46" t="n">
        <f aca="false">C9+C15</f>
        <v>0</v>
      </c>
      <c r="D16" s="46" t="n">
        <f aca="false">D9+D15</f>
        <v>0</v>
      </c>
      <c r="E16" s="46" t="str">
        <f aca="false">IF(D16=0,"",C16-D16)</f>
        <v/>
      </c>
      <c r="F16" s="47" t="str">
        <f aca="false">IF($C$16=0,"",1)</f>
        <v/>
      </c>
    </row>
    <row r="17" customFormat="false" ht="18" hidden="false" customHeight="true" outlineLevel="0" collapsed="false">
      <c r="A17" s="31" t="s">
        <v>73</v>
      </c>
      <c r="B17" s="31"/>
      <c r="C17" s="31"/>
      <c r="D17" s="31"/>
      <c r="E17" s="31"/>
      <c r="F17" s="31"/>
    </row>
    <row r="18" customFormat="false" ht="15" hidden="false" customHeight="false" outlineLevel="0" collapsed="false">
      <c r="A18" s="41" t="str">
        <f aca="false">IF(Február!A18="","",Február!A18)</f>
        <v>Vésztartalék</v>
      </c>
      <c r="B18" s="42"/>
      <c r="C18" s="25"/>
      <c r="D18" s="42"/>
      <c r="E18" s="25" t="str">
        <f aca="false">IF(D18=0,"",B18-D18)</f>
        <v/>
      </c>
      <c r="F18" s="30" t="str">
        <f aca="false">IF(OR($C$28=0,B18=""),"",B18/$C$28)</f>
        <v/>
      </c>
    </row>
    <row r="19" customFormat="false" ht="15" hidden="false" customHeight="false" outlineLevel="0" collapsed="false">
      <c r="A19" s="41" t="str">
        <f aca="false">IF(Február!A19="","",Február!A19)</f>
        <v>Lakástakarékpénztár</v>
      </c>
      <c r="B19" s="42"/>
      <c r="C19" s="25"/>
      <c r="D19" s="42"/>
      <c r="E19" s="25" t="str">
        <f aca="false">IF(D19=0,"",B19-D19)</f>
        <v/>
      </c>
      <c r="F19" s="30" t="str">
        <f aca="false">IF(OR($C$28=0,B19=""),"",B19/$C$28)</f>
        <v/>
      </c>
    </row>
    <row r="20" customFormat="false" ht="15" hidden="false" customHeight="false" outlineLevel="0" collapsed="false">
      <c r="A20" s="41" t="str">
        <f aca="false">IF(Február!A20="","",Február!A20)</f>
        <v>Általános cél</v>
      </c>
      <c r="B20" s="42"/>
      <c r="C20" s="25"/>
      <c r="D20" s="42"/>
      <c r="E20" s="25" t="str">
        <f aca="false">IF(D20=0,"",B20-D20)</f>
        <v/>
      </c>
      <c r="F20" s="30" t="str">
        <f aca="false">IF(OR($C$28=0,B20=""),"",B20/$C$28)</f>
        <v/>
      </c>
    </row>
    <row r="21" customFormat="false" ht="15" hidden="false" customHeight="false" outlineLevel="0" collapsed="false">
      <c r="A21" s="41" t="str">
        <f aca="false">IF(Február!A21="","",Február!A21)</f>
        <v>Hosszú távú (min. 10 éves, általános célú)</v>
      </c>
      <c r="B21" s="42"/>
      <c r="C21" s="25"/>
      <c r="D21" s="42"/>
      <c r="E21" s="25" t="str">
        <f aca="false">IF(D21=0,"",B21-D21)</f>
        <v/>
      </c>
      <c r="F21" s="30" t="str">
        <f aca="false">IF(OR($C$28=0,B21=""),"",B21/$C$28)</f>
        <v/>
      </c>
    </row>
    <row r="22" customFormat="false" ht="15" hidden="false" customHeight="false" outlineLevel="0" collapsed="false">
      <c r="A22" s="41" t="str">
        <f aca="false">IF(Február!A22="","",Február!A22)</f>
        <v>Hosszú távú (min. 10 éves, lakás célú)</v>
      </c>
      <c r="B22" s="42"/>
      <c r="C22" s="25"/>
      <c r="D22" s="42"/>
      <c r="E22" s="25" t="str">
        <f aca="false">IF(D22=0,"",B22-D22)</f>
        <v/>
      </c>
      <c r="F22" s="30" t="str">
        <f aca="false">IF(OR($C$28=0,B22=""),"",B22/$C$28)</f>
        <v/>
      </c>
    </row>
    <row r="23" customFormat="false" ht="15" hidden="false" customHeight="false" outlineLevel="0" collapsed="false">
      <c r="A23" s="41" t="str">
        <f aca="false">IF(Február!A23="","",Február!A23)</f>
        <v>Hosszú távú (min. 10 éves, gyermek jövője célú)</v>
      </c>
      <c r="B23" s="42"/>
      <c r="C23" s="25"/>
      <c r="D23" s="42"/>
      <c r="E23" s="25" t="str">
        <f aca="false">IF(D23=0,"",B23-D23)</f>
        <v/>
      </c>
      <c r="F23" s="30" t="str">
        <f aca="false">IF(OR($C$28=0,B23=""),"",B23/$C$28)</f>
        <v/>
      </c>
    </row>
    <row r="24" customFormat="false" ht="15" hidden="false" customHeight="false" outlineLevel="0" collapsed="false">
      <c r="A24" s="41" t="str">
        <f aca="false">IF(Február!A24="","",Február!A24)</f>
        <v>Hosszú távú (min. 15 éves, nyugdíj célú)</v>
      </c>
      <c r="B24" s="42"/>
      <c r="C24" s="25"/>
      <c r="D24" s="42"/>
      <c r="E24" s="25" t="str">
        <f aca="false">IF(D24=0,"",B24-D24)</f>
        <v/>
      </c>
      <c r="F24" s="30" t="str">
        <f aca="false">IF(OR($C$28=0,B24=""),"",B24/$C$28)</f>
        <v/>
      </c>
    </row>
    <row r="25" customFormat="false" ht="15" hidden="false" customHeight="false" outlineLevel="0" collapsed="false">
      <c r="A25" s="41" t="str">
        <f aca="false">IF(Február!A25="","",Február!A25)</f>
        <v>Nyugdíjbiztosítás</v>
      </c>
      <c r="B25" s="42"/>
      <c r="C25" s="25"/>
      <c r="D25" s="42"/>
      <c r="E25" s="25" t="str">
        <f aca="false">IF(D25=0,"",B25-D25)</f>
        <v/>
      </c>
      <c r="F25" s="30" t="str">
        <f aca="false">IF(OR($C$28=0,B25=""),"",B25/$C$28)</f>
        <v/>
      </c>
    </row>
    <row r="26" customFormat="false" ht="15" hidden="false" customHeight="false" outlineLevel="0" collapsed="false">
      <c r="A26" s="41" t="str">
        <f aca="false">IF(Február!A26="","",Február!A26)</f>
        <v/>
      </c>
      <c r="B26" s="42"/>
      <c r="C26" s="25"/>
      <c r="D26" s="42"/>
      <c r="E26" s="25" t="str">
        <f aca="false">IF(D26=0,"",B26-D26)</f>
        <v/>
      </c>
      <c r="F26" s="30" t="str">
        <f aca="false">IF(OR($C$28=0,B26=""),"",B26/$C$28)</f>
        <v/>
      </c>
    </row>
    <row r="27" customFormat="false" ht="15" hidden="false" customHeight="false" outlineLevel="0" collapsed="false">
      <c r="A27" s="41" t="str">
        <f aca="false">IF(Február!A27="","",Február!A27)</f>
        <v/>
      </c>
      <c r="B27" s="42"/>
      <c r="C27" s="25"/>
      <c r="D27" s="42"/>
      <c r="E27" s="25" t="str">
        <f aca="false">IF(D27=0,"",B27-D27)</f>
        <v/>
      </c>
      <c r="F27" s="30" t="str">
        <f aca="false">IF(OR($C$28=0,B27=""),"",B27/$C$28)</f>
        <v/>
      </c>
    </row>
    <row r="28" customFormat="false" ht="15" hidden="false" customHeight="false" outlineLevel="0" collapsed="false">
      <c r="A28" s="31" t="s">
        <v>82</v>
      </c>
      <c r="B28" s="31"/>
      <c r="C28" s="48" t="n">
        <f aca="false">SUM(B18:B27)</f>
        <v>0</v>
      </c>
      <c r="D28" s="48" t="n">
        <f aca="false">SUM(D18:D27)</f>
        <v>0</v>
      </c>
      <c r="E28" s="48" t="str">
        <f aca="false">IF(D28=0,"",C28-D28)</f>
        <v/>
      </c>
      <c r="F28" s="49" t="str">
        <f aca="false">IF($C$16=0,"",C28/$C$16)</f>
        <v/>
      </c>
    </row>
    <row r="29" customFormat="false" ht="18" hidden="false" customHeight="true" outlineLevel="0" collapsed="false">
      <c r="A29" s="33" t="s">
        <v>83</v>
      </c>
      <c r="B29" s="33"/>
      <c r="C29" s="33"/>
      <c r="D29" s="33"/>
      <c r="E29" s="33"/>
      <c r="F29" s="33"/>
    </row>
    <row r="30" customFormat="false" ht="15" hidden="false" customHeight="false" outlineLevel="0" collapsed="false">
      <c r="A30" s="39" t="s">
        <v>43</v>
      </c>
      <c r="B30" s="40"/>
      <c r="C30" s="40"/>
      <c r="D30" s="40"/>
      <c r="E30" s="40"/>
      <c r="F30" s="40"/>
    </row>
    <row r="31" customFormat="false" ht="15" hidden="false" customHeight="false" outlineLevel="0" collapsed="false">
      <c r="A31" s="41" t="str">
        <f aca="false">IF(Február!A31="","",Február!A31)</f>
        <v>Albérleti díj / lakáshitel</v>
      </c>
      <c r="B31" s="42"/>
      <c r="C31" s="25"/>
      <c r="D31" s="42"/>
      <c r="E31" s="25" t="str">
        <f aca="false">IF(D31=0,"",D31-B31)</f>
        <v/>
      </c>
      <c r="F31" s="30" t="str">
        <f aca="false">IF(OR($C$118=0,B31=""),"",B31/$C$118)</f>
        <v/>
      </c>
    </row>
    <row r="32" customFormat="false" ht="15" hidden="false" customHeight="false" outlineLevel="0" collapsed="false">
      <c r="A32" s="41" t="str">
        <f aca="false">IF(Február!A32="","",Február!A32)</f>
        <v>Rezsi (közművek, közös költség)</v>
      </c>
      <c r="B32" s="42"/>
      <c r="C32" s="25"/>
      <c r="D32" s="42"/>
      <c r="E32" s="25" t="str">
        <f aca="false">IF(D32=0,"",D32-B32)</f>
        <v/>
      </c>
      <c r="F32" s="30" t="str">
        <f aca="false">IF(OR($C$118=0,B32=""),"",B32/$C$118)</f>
        <v/>
      </c>
    </row>
    <row r="33" customFormat="false" ht="15" hidden="false" customHeight="false" outlineLevel="0" collapsed="false">
      <c r="A33" s="41" t="str">
        <f aca="false">IF(Február!A33="","",Február!A33)</f>
        <v>Telefon, internet, digitális előfizetések</v>
      </c>
      <c r="B33" s="42"/>
      <c r="C33" s="25"/>
      <c r="D33" s="42"/>
      <c r="E33" s="25" t="str">
        <f aca="false">IF(D33=0,"",D33-B33)</f>
        <v/>
      </c>
      <c r="F33" s="30" t="str">
        <f aca="false">IF(OR($C$118=0,B33=""),"",B33/$C$118)</f>
        <v/>
      </c>
    </row>
    <row r="34" customFormat="false" ht="15" hidden="false" customHeight="false" outlineLevel="0" collapsed="false">
      <c r="A34" s="41" t="str">
        <f aca="false">IF(Február!A34="","",Február!A34)</f>
        <v/>
      </c>
      <c r="B34" s="42"/>
      <c r="C34" s="25"/>
      <c r="D34" s="42"/>
      <c r="E34" s="25" t="str">
        <f aca="false">IF(D34=0,"",D34-B34)</f>
        <v/>
      </c>
      <c r="F34" s="30" t="str">
        <f aca="false">IF(OR($C$118=0,B34=""),"",B34/$C$118)</f>
        <v/>
      </c>
    </row>
    <row r="35" customFormat="false" ht="15" hidden="false" customHeight="false" outlineLevel="0" collapsed="false">
      <c r="A35" s="43" t="s">
        <v>87</v>
      </c>
      <c r="B35" s="35"/>
      <c r="C35" s="44" t="n">
        <f aca="false">SUM(B31:B34)</f>
        <v>0</v>
      </c>
      <c r="D35" s="44" t="n">
        <f aca="false">SUM(D31:D34)</f>
        <v>0</v>
      </c>
      <c r="E35" s="44" t="str">
        <f aca="false">IF(D35=0,"",D35-C35)</f>
        <v/>
      </c>
      <c r="F35" s="45" t="str">
        <f aca="false">IF(OR($C$118=0,C35=""),"",C35/$C$118)</f>
        <v/>
      </c>
    </row>
    <row r="36" customFormat="false" ht="15" hidden="false" customHeight="false" outlineLevel="0" collapsed="false">
      <c r="A36" s="39" t="s">
        <v>44</v>
      </c>
      <c r="B36" s="40"/>
      <c r="C36" s="40"/>
      <c r="D36" s="40"/>
      <c r="E36" s="40"/>
      <c r="F36" s="40"/>
    </row>
    <row r="37" customFormat="false" ht="15" hidden="false" customHeight="false" outlineLevel="0" collapsed="false">
      <c r="A37" s="41" t="str">
        <f aca="false">IF(Február!A37="","",Február!A37)</f>
        <v>Nagybevásárlások</v>
      </c>
      <c r="B37" s="42"/>
      <c r="C37" s="25"/>
      <c r="D37" s="42"/>
      <c r="E37" s="25" t="str">
        <f aca="false">IF(D37=0,"",D37-B37)</f>
        <v/>
      </c>
      <c r="F37" s="30" t="str">
        <f aca="false">IF(OR($C$118=0,B37=""),"",B37/$C$118)</f>
        <v/>
      </c>
    </row>
    <row r="38" customFormat="false" ht="15" hidden="false" customHeight="false" outlineLevel="0" collapsed="false">
      <c r="A38" s="41" t="str">
        <f aca="false">IF(Február!A38="","",Február!A38)</f>
        <v>Drogéria</v>
      </c>
      <c r="B38" s="42"/>
      <c r="C38" s="25"/>
      <c r="D38" s="42"/>
      <c r="E38" s="25" t="str">
        <f aca="false">IF(D38=0,"",D38-B38)</f>
        <v/>
      </c>
      <c r="F38" s="30" t="str">
        <f aca="false">IF(OR($C$118=0,B38=""),"",B38/$C$118)</f>
        <v/>
      </c>
    </row>
    <row r="39" customFormat="false" ht="15" hidden="false" customHeight="false" outlineLevel="0" collapsed="false">
      <c r="A39" s="41" t="str">
        <f aca="false">IF(Február!A39="","",Február!A39)</f>
        <v>Ételrendelés</v>
      </c>
      <c r="B39" s="42"/>
      <c r="C39" s="25"/>
      <c r="D39" s="42"/>
      <c r="E39" s="25" t="str">
        <f aca="false">IF(D39=0,"",D39-B39)</f>
        <v/>
      </c>
      <c r="F39" s="30" t="str">
        <f aca="false">IF(OR($C$118=0,B39=""),"",B39/$C$118)</f>
        <v/>
      </c>
    </row>
    <row r="40" customFormat="false" ht="15" hidden="false" customHeight="false" outlineLevel="0" collapsed="false">
      <c r="A40" s="41" t="str">
        <f aca="false">IF(Február!A40="","",Február!A40)</f>
        <v>Egyéb élelmiszer, bevásárlás</v>
      </c>
      <c r="B40" s="42"/>
      <c r="C40" s="25"/>
      <c r="D40" s="42"/>
      <c r="E40" s="25" t="str">
        <f aca="false">IF(D40=0,"",D40-B40)</f>
        <v/>
      </c>
      <c r="F40" s="30" t="str">
        <f aca="false">IF(OR($C$118=0,B40=""),"",B40/$C$118)</f>
        <v/>
      </c>
    </row>
    <row r="41" customFormat="false" ht="15" hidden="false" customHeight="false" outlineLevel="0" collapsed="false">
      <c r="A41" s="41" t="str">
        <f aca="false">IF(Február!A41="","",Február!A41)</f>
        <v/>
      </c>
      <c r="B41" s="42"/>
      <c r="C41" s="25"/>
      <c r="D41" s="42"/>
      <c r="E41" s="25" t="str">
        <f aca="false">IF(D41=0,"",D41-B41)</f>
        <v/>
      </c>
      <c r="F41" s="30" t="str">
        <f aca="false">IF(OR($C$118=0,B41=""),"",B41/$C$118)</f>
        <v/>
      </c>
    </row>
    <row r="42" customFormat="false" ht="15" hidden="false" customHeight="false" outlineLevel="0" collapsed="false">
      <c r="A42" s="43" t="s">
        <v>92</v>
      </c>
      <c r="B42" s="35"/>
      <c r="C42" s="44" t="n">
        <f aca="false">SUM(B37:B41)</f>
        <v>0</v>
      </c>
      <c r="D42" s="44" t="n">
        <f aca="false">SUM(D37:D41)</f>
        <v>0</v>
      </c>
      <c r="E42" s="44" t="str">
        <f aca="false">IF(D42=0,"",D42-C42)</f>
        <v/>
      </c>
      <c r="F42" s="45" t="str">
        <f aca="false">IF(OR($C$118=0,C42=""),"",C42/$C$118)</f>
        <v/>
      </c>
    </row>
    <row r="43" customFormat="false" ht="15" hidden="false" customHeight="false" outlineLevel="0" collapsed="false">
      <c r="A43" s="39" t="s">
        <v>45</v>
      </c>
      <c r="B43" s="40"/>
      <c r="C43" s="40"/>
      <c r="D43" s="40"/>
      <c r="E43" s="40"/>
      <c r="F43" s="40"/>
    </row>
    <row r="44" customFormat="false" ht="15" hidden="false" customHeight="false" outlineLevel="0" collapsed="false">
      <c r="A44" s="41" t="str">
        <f aca="false">IF(Február!A44="","",Február!A44)</f>
        <v>Lakásbiztosítás</v>
      </c>
      <c r="B44" s="42"/>
      <c r="C44" s="25"/>
      <c r="D44" s="42"/>
      <c r="E44" s="25" t="str">
        <f aca="false">IF(D44=0,"",D44-B44)</f>
        <v/>
      </c>
      <c r="F44" s="30" t="str">
        <f aca="false">IF(OR($C$118=0,B44=""),"",B44/$C$118)</f>
        <v/>
      </c>
    </row>
    <row r="45" customFormat="false" ht="15" hidden="false" customHeight="false" outlineLevel="0" collapsed="false">
      <c r="A45" s="41" t="str">
        <f aca="false">IF(Február!A45="","",Február!A45)</f>
        <v>Életbiztosítás</v>
      </c>
      <c r="B45" s="42"/>
      <c r="C45" s="25"/>
      <c r="D45" s="42"/>
      <c r="E45" s="25" t="str">
        <f aca="false">IF(D45=0,"",D45-B45)</f>
        <v/>
      </c>
      <c r="F45" s="30" t="str">
        <f aca="false">IF(OR($C$118=0,B45=""),"",B45/$C$118)</f>
        <v/>
      </c>
    </row>
    <row r="46" customFormat="false" ht="15" hidden="false" customHeight="false" outlineLevel="0" collapsed="false">
      <c r="A46" s="41" t="str">
        <f aca="false">IF(Február!A46="","",Február!A46)</f>
        <v>Baleset- és betegségbiztosítás</v>
      </c>
      <c r="B46" s="42"/>
      <c r="C46" s="25"/>
      <c r="D46" s="42"/>
      <c r="E46" s="25" t="str">
        <f aca="false">IF(D46=0,"",D46-B46)</f>
        <v/>
      </c>
      <c r="F46" s="30" t="str">
        <f aca="false">IF(OR($C$118=0,B46=""),"",B46/$C$118)</f>
        <v/>
      </c>
    </row>
    <row r="47" customFormat="false" ht="15" hidden="false" customHeight="false" outlineLevel="0" collapsed="false">
      <c r="A47" s="41" t="str">
        <f aca="false">IF(Február!A47="","",Február!A47)</f>
        <v>Egészségbiztosítás</v>
      </c>
      <c r="B47" s="42"/>
      <c r="C47" s="25"/>
      <c r="D47" s="42"/>
      <c r="E47" s="25" t="str">
        <f aca="false">IF(D47=0,"",D47-B47)</f>
        <v/>
      </c>
      <c r="F47" s="30" t="str">
        <f aca="false">IF(OR($C$118=0,B47=""),"",B47/$C$118)</f>
        <v/>
      </c>
    </row>
    <row r="48" customFormat="false" ht="15" hidden="false" customHeight="false" outlineLevel="0" collapsed="false">
      <c r="A48" s="41" t="str">
        <f aca="false">IF(Február!A48="","",Február!A48)</f>
        <v>Hiteltörlesztés</v>
      </c>
      <c r="B48" s="42"/>
      <c r="C48" s="25"/>
      <c r="D48" s="42"/>
      <c r="E48" s="25" t="str">
        <f aca="false">IF(D48=0,"",D48-B48)</f>
        <v/>
      </c>
      <c r="F48" s="30" t="str">
        <f aca="false">IF(OR($C$118=0,B48=""),"",B48/$C$118)</f>
        <v/>
      </c>
    </row>
    <row r="49" customFormat="false" ht="15" hidden="false" customHeight="false" outlineLevel="0" collapsed="false">
      <c r="A49" s="41" t="str">
        <f aca="false">IF(Február!A49="","",Február!A49)</f>
        <v>Egyéb szerződés</v>
      </c>
      <c r="B49" s="42"/>
      <c r="C49" s="25"/>
      <c r="D49" s="42"/>
      <c r="E49" s="25" t="str">
        <f aca="false">IF(D49=0,"",D49-B49)</f>
        <v/>
      </c>
      <c r="F49" s="30" t="str">
        <f aca="false">IF(OR($C$118=0,B49=""),"",B49/$C$118)</f>
        <v/>
      </c>
    </row>
    <row r="50" customFormat="false" ht="15" hidden="false" customHeight="false" outlineLevel="0" collapsed="false">
      <c r="A50" s="41" t="str">
        <f aca="false">IF(Február!A50="","",Február!A50)</f>
        <v/>
      </c>
      <c r="B50" s="42"/>
      <c r="C50" s="25"/>
      <c r="D50" s="42"/>
      <c r="E50" s="25" t="str">
        <f aca="false">IF(D50=0,"",D50-B50)</f>
        <v/>
      </c>
      <c r="F50" s="30" t="str">
        <f aca="false">IF(OR($C$118=0,B50=""),"",B50/$C$118)</f>
        <v/>
      </c>
    </row>
    <row r="51" customFormat="false" ht="15" hidden="false" customHeight="false" outlineLevel="0" collapsed="false">
      <c r="A51" s="41" t="str">
        <f aca="false">IF(Február!A51="","",Február!A51)</f>
        <v/>
      </c>
      <c r="B51" s="42"/>
      <c r="C51" s="25"/>
      <c r="D51" s="42"/>
      <c r="E51" s="25" t="str">
        <f aca="false">IF(D51=0,"",D51-B51)</f>
        <v/>
      </c>
      <c r="F51" s="30" t="str">
        <f aca="false">IF(OR($C$118=0,B51=""),"",B51/$C$118)</f>
        <v/>
      </c>
    </row>
    <row r="52" customFormat="false" ht="15" hidden="false" customHeight="false" outlineLevel="0" collapsed="false">
      <c r="A52" s="43" t="s">
        <v>99</v>
      </c>
      <c r="B52" s="35"/>
      <c r="C52" s="44" t="n">
        <f aca="false">SUM(B44:B51)</f>
        <v>0</v>
      </c>
      <c r="D52" s="44" t="n">
        <f aca="false">SUM(D44:D51)</f>
        <v>0</v>
      </c>
      <c r="E52" s="44" t="str">
        <f aca="false">IF(D52=0,"",D52-C52)</f>
        <v/>
      </c>
      <c r="F52" s="45" t="str">
        <f aca="false">IF(OR($C$118=0,C52=""),"",C52/$C$118)</f>
        <v/>
      </c>
    </row>
    <row r="53" customFormat="false" ht="15" hidden="false" customHeight="false" outlineLevel="0" collapsed="false">
      <c r="A53" s="39" t="s">
        <v>46</v>
      </c>
      <c r="B53" s="40"/>
      <c r="C53" s="40"/>
      <c r="D53" s="40"/>
      <c r="E53" s="40"/>
      <c r="F53" s="40"/>
    </row>
    <row r="54" customFormat="false" ht="15" hidden="false" customHeight="false" outlineLevel="0" collapsed="false">
      <c r="A54" s="41" t="str">
        <f aca="false">IF(Február!A54="","",Február!A54)</f>
        <v>Üzemanyag, elektromos töltés</v>
      </c>
      <c r="B54" s="42"/>
      <c r="C54" s="25"/>
      <c r="D54" s="42"/>
      <c r="E54" s="25" t="str">
        <f aca="false">IF(D54=0,"",D54-B54)</f>
        <v/>
      </c>
      <c r="F54" s="30" t="str">
        <f aca="false">IF(OR($C$118=0,B54=""),"",B54/$C$118)</f>
        <v/>
      </c>
    </row>
    <row r="55" customFormat="false" ht="15" hidden="false" customHeight="false" outlineLevel="0" collapsed="false">
      <c r="A55" s="41" t="str">
        <f aca="false">IF(Február!A55="","",Február!A55)</f>
        <v>Parkolás, útdíj, autópálya-matrica</v>
      </c>
      <c r="B55" s="42"/>
      <c r="C55" s="25"/>
      <c r="D55" s="42"/>
      <c r="E55" s="25" t="str">
        <f aca="false">IF(D55=0,"",D55-B55)</f>
        <v/>
      </c>
      <c r="F55" s="30" t="str">
        <f aca="false">IF(OR($C$118=0,B55=""),"",B55/$C$118)</f>
        <v/>
      </c>
    </row>
    <row r="56" customFormat="false" ht="15" hidden="false" customHeight="false" outlineLevel="0" collapsed="false">
      <c r="A56" s="41" t="str">
        <f aca="false">IF(Február!A56="","",Február!A56)</f>
        <v>Szerviz, karbantartás, gumicsere</v>
      </c>
      <c r="B56" s="42"/>
      <c r="C56" s="25"/>
      <c r="D56" s="42"/>
      <c r="E56" s="25" t="str">
        <f aca="false">IF(D56=0,"",D56-B56)</f>
        <v/>
      </c>
      <c r="F56" s="30" t="str">
        <f aca="false">IF(OR($C$118=0,B56=""),"",B56/$C$118)</f>
        <v/>
      </c>
    </row>
    <row r="57" customFormat="false" ht="15" hidden="false" customHeight="false" outlineLevel="0" collapsed="false">
      <c r="A57" s="41" t="str">
        <f aca="false">IF(Február!A57="","",Február!A57)</f>
        <v>KGFB (kötelező biztosítás)</v>
      </c>
      <c r="B57" s="42"/>
      <c r="C57" s="25"/>
      <c r="D57" s="42"/>
      <c r="E57" s="25" t="str">
        <f aca="false">IF(D57=0,"",D57-B57)</f>
        <v/>
      </c>
      <c r="F57" s="30" t="str">
        <f aca="false">IF(OR($C$118=0,B57=""),"",B57/$C$118)</f>
        <v/>
      </c>
    </row>
    <row r="58" customFormat="false" ht="15" hidden="false" customHeight="false" outlineLevel="0" collapsed="false">
      <c r="A58" s="41" t="str">
        <f aca="false">IF(Február!A58="","",Február!A58)</f>
        <v>CASCO</v>
      </c>
      <c r="B58" s="42"/>
      <c r="C58" s="25"/>
      <c r="D58" s="42"/>
      <c r="E58" s="25" t="str">
        <f aca="false">IF(D58=0,"",D58-B58)</f>
        <v/>
      </c>
      <c r="F58" s="30" t="str">
        <f aca="false">IF(OR($C$118=0,B58=""),"",B58/$C$118)</f>
        <v/>
      </c>
    </row>
    <row r="59" customFormat="false" ht="15" hidden="false" customHeight="false" outlineLevel="0" collapsed="false">
      <c r="A59" s="41" t="str">
        <f aca="false">IF(Február!A59="","",Február!A59)</f>
        <v>Gépjárműadó</v>
      </c>
      <c r="B59" s="42"/>
      <c r="C59" s="25"/>
      <c r="D59" s="42"/>
      <c r="E59" s="25" t="str">
        <f aca="false">IF(D59=0,"",D59-B59)</f>
        <v/>
      </c>
      <c r="F59" s="30" t="str">
        <f aca="false">IF(OR($C$118=0,B59=""),"",B59/$C$118)</f>
        <v/>
      </c>
    </row>
    <row r="60" customFormat="false" ht="15" hidden="false" customHeight="false" outlineLevel="0" collapsed="false">
      <c r="A60" s="41" t="str">
        <f aca="false">IF(Február!A60="","",Február!A60)</f>
        <v>Autóhitel, lízing részlet</v>
      </c>
      <c r="B60" s="42"/>
      <c r="C60" s="25"/>
      <c r="D60" s="42"/>
      <c r="E60" s="25" t="str">
        <f aca="false">IF(D60=0,"",D60-B60)</f>
        <v/>
      </c>
      <c r="F60" s="30" t="str">
        <f aca="false">IF(OR($C$118=0,B60=""),"",B60/$C$118)</f>
        <v/>
      </c>
    </row>
    <row r="61" customFormat="false" ht="15" hidden="false" customHeight="false" outlineLevel="0" collapsed="false">
      <c r="A61" s="41" t="str">
        <f aca="false">IF(Február!A61="","",Február!A61)</f>
        <v>Autómosás, egyéb autós költség</v>
      </c>
      <c r="B61" s="42"/>
      <c r="C61" s="25"/>
      <c r="D61" s="42"/>
      <c r="E61" s="25" t="str">
        <f aca="false">IF(D61=0,"",D61-B61)</f>
        <v/>
      </c>
      <c r="F61" s="30" t="str">
        <f aca="false">IF(OR($C$118=0,B61=""),"",B61/$C$118)</f>
        <v/>
      </c>
    </row>
    <row r="62" customFormat="false" ht="15" hidden="false" customHeight="false" outlineLevel="0" collapsed="false">
      <c r="A62" s="41" t="str">
        <f aca="false">IF(Február!A62="","",Február!A62)</f>
        <v>Tömegközlekedés, bérlet</v>
      </c>
      <c r="B62" s="42"/>
      <c r="C62" s="25"/>
      <c r="D62" s="42"/>
      <c r="E62" s="25" t="str">
        <f aca="false">IF(D62=0,"",D62-B62)</f>
        <v/>
      </c>
      <c r="F62" s="30" t="str">
        <f aca="false">IF(OR($C$118=0,B62=""),"",B62/$C$118)</f>
        <v/>
      </c>
    </row>
    <row r="63" customFormat="false" ht="15" hidden="false" customHeight="false" outlineLevel="0" collapsed="false">
      <c r="A63" s="41" t="str">
        <f aca="false">IF(Február!A63="","",Február!A63)</f>
        <v>Taxi, roller, bicikli, közösségi közlekedés</v>
      </c>
      <c r="B63" s="42"/>
      <c r="C63" s="25"/>
      <c r="D63" s="42"/>
      <c r="E63" s="25" t="str">
        <f aca="false">IF(D63=0,"",D63-B63)</f>
        <v/>
      </c>
      <c r="F63" s="30" t="str">
        <f aca="false">IF(OR($C$118=0,B63=""),"",B63/$C$118)</f>
        <v/>
      </c>
    </row>
    <row r="64" customFormat="false" ht="15" hidden="false" customHeight="false" outlineLevel="0" collapsed="false">
      <c r="A64" s="41" t="str">
        <f aca="false">IF(Február!A64="","",Február!A64)</f>
        <v/>
      </c>
      <c r="B64" s="42"/>
      <c r="C64" s="25"/>
      <c r="D64" s="42"/>
      <c r="E64" s="25" t="str">
        <f aca="false">IF(D64=0,"",D64-B64)</f>
        <v/>
      </c>
      <c r="F64" s="30" t="str">
        <f aca="false">IF(OR($C$118=0,B64=""),"",B64/$C$118)</f>
        <v/>
      </c>
    </row>
    <row r="65" customFormat="false" ht="15" hidden="false" customHeight="false" outlineLevel="0" collapsed="false">
      <c r="A65" s="41" t="str">
        <f aca="false">IF(Február!A65="","",Február!A65)</f>
        <v/>
      </c>
      <c r="B65" s="42"/>
      <c r="C65" s="25"/>
      <c r="D65" s="42"/>
      <c r="E65" s="25" t="str">
        <f aca="false">IF(D65=0,"",D65-B65)</f>
        <v/>
      </c>
      <c r="F65" s="30" t="str">
        <f aca="false">IF(OR($C$118=0,B65=""),"",B65/$C$118)</f>
        <v/>
      </c>
    </row>
    <row r="66" customFormat="false" ht="15" hidden="false" customHeight="false" outlineLevel="0" collapsed="false">
      <c r="A66" s="43" t="s">
        <v>110</v>
      </c>
      <c r="B66" s="35"/>
      <c r="C66" s="44" t="n">
        <f aca="false">SUM(B54:B65)</f>
        <v>0</v>
      </c>
      <c r="D66" s="44" t="n">
        <f aca="false">SUM(D54:D65)</f>
        <v>0</v>
      </c>
      <c r="E66" s="44" t="str">
        <f aca="false">IF(D66=0,"",D66-C66)</f>
        <v/>
      </c>
      <c r="F66" s="45" t="str">
        <f aca="false">IF(OR($C$118=0,C66=""),"",C66/$C$118)</f>
        <v/>
      </c>
    </row>
    <row r="67" customFormat="false" ht="15" hidden="false" customHeight="false" outlineLevel="0" collapsed="false">
      <c r="A67" s="39" t="s">
        <v>47</v>
      </c>
      <c r="B67" s="40"/>
      <c r="C67" s="40"/>
      <c r="D67" s="40"/>
      <c r="E67" s="40"/>
      <c r="F67" s="40"/>
    </row>
    <row r="68" customFormat="false" ht="15" hidden="false" customHeight="false" outlineLevel="0" collapsed="false">
      <c r="A68" s="41" t="str">
        <f aca="false">IF(Február!A68="","",Február!A68)</f>
        <v>Gyerek ruha, cipő</v>
      </c>
      <c r="B68" s="42"/>
      <c r="C68" s="25"/>
      <c r="D68" s="42"/>
      <c r="E68" s="25" t="str">
        <f aca="false">IF(D68=0,"",D68-B68)</f>
        <v/>
      </c>
      <c r="F68" s="30" t="str">
        <f aca="false">IF(OR($C$118=0,B68=""),"",B68/$C$118)</f>
        <v/>
      </c>
    </row>
    <row r="69" customFormat="false" ht="15" hidden="false" customHeight="false" outlineLevel="0" collapsed="false">
      <c r="A69" s="41" t="str">
        <f aca="false">IF(Február!A69="","",Február!A69)</f>
        <v>Gyerek étkeztetés (menza)</v>
      </c>
      <c r="B69" s="42"/>
      <c r="C69" s="25"/>
      <c r="D69" s="42"/>
      <c r="E69" s="25" t="str">
        <f aca="false">IF(D69=0,"",D69-B69)</f>
        <v/>
      </c>
      <c r="F69" s="30" t="str">
        <f aca="false">IF(OR($C$118=0,B69=""),"",B69/$C$118)</f>
        <v/>
      </c>
    </row>
    <row r="70" customFormat="false" ht="15" hidden="false" customHeight="false" outlineLevel="0" collapsed="false">
      <c r="A70" s="41" t="str">
        <f aca="false">IF(Február!A70="","",Február!A70)</f>
        <v>Bölcsőde, óvoda, iskola díjai</v>
      </c>
      <c r="B70" s="42"/>
      <c r="C70" s="25"/>
      <c r="D70" s="42"/>
      <c r="E70" s="25" t="str">
        <f aca="false">IF(D70=0,"",D70-B70)</f>
        <v/>
      </c>
      <c r="F70" s="30" t="str">
        <f aca="false">IF(OR($C$118=0,B70=""),"",B70/$C$118)</f>
        <v/>
      </c>
    </row>
    <row r="71" customFormat="false" ht="15" hidden="false" customHeight="false" outlineLevel="0" collapsed="false">
      <c r="A71" s="41" t="str">
        <f aca="false">IF(Február!A71="","",Február!A71)</f>
        <v>Tankönyv, tanszer</v>
      </c>
      <c r="B71" s="42"/>
      <c r="C71" s="25"/>
      <c r="D71" s="42"/>
      <c r="E71" s="25" t="str">
        <f aca="false">IF(D71=0,"",D71-B71)</f>
        <v/>
      </c>
      <c r="F71" s="30" t="str">
        <f aca="false">IF(OR($C$118=0,B71=""),"",B71/$C$118)</f>
        <v/>
      </c>
    </row>
    <row r="72" customFormat="false" ht="15" hidden="false" customHeight="false" outlineLevel="0" collapsed="false">
      <c r="A72" s="41" t="str">
        <f aca="false">IF(Február!A72="","",Február!A72)</f>
        <v>Különórák, edzések</v>
      </c>
      <c r="B72" s="42"/>
      <c r="C72" s="25"/>
      <c r="D72" s="42"/>
      <c r="E72" s="25" t="str">
        <f aca="false">IF(D72=0,"",D72-B72)</f>
        <v/>
      </c>
      <c r="F72" s="30" t="str">
        <f aca="false">IF(OR($C$118=0,B72=""),"",B72/$C$118)</f>
        <v/>
      </c>
    </row>
    <row r="73" customFormat="false" ht="15" hidden="false" customHeight="false" outlineLevel="0" collapsed="false">
      <c r="A73" s="41" t="str">
        <f aca="false">IF(Február!A73="","",Február!A73)</f>
        <v>Magánóra, korrepetálás</v>
      </c>
      <c r="B73" s="42"/>
      <c r="C73" s="25"/>
      <c r="D73" s="42"/>
      <c r="E73" s="25" t="str">
        <f aca="false">IF(D73=0,"",D73-B73)</f>
        <v/>
      </c>
      <c r="F73" s="30" t="str">
        <f aca="false">IF(OR($C$118=0,B73=""),"",B73/$C$118)</f>
        <v/>
      </c>
    </row>
    <row r="74" customFormat="false" ht="15" hidden="false" customHeight="false" outlineLevel="0" collapsed="false">
      <c r="A74" s="41" t="str">
        <f aca="false">IF(Február!A74="","",Február!A74)</f>
        <v>Zsebpénz</v>
      </c>
      <c r="B74" s="42"/>
      <c r="C74" s="25"/>
      <c r="D74" s="42"/>
      <c r="E74" s="25" t="str">
        <f aca="false">IF(D74=0,"",D74-B74)</f>
        <v/>
      </c>
      <c r="F74" s="30" t="str">
        <f aca="false">IF(OR($C$118=0,B74=""),"",B74/$C$118)</f>
        <v/>
      </c>
    </row>
    <row r="75" customFormat="false" ht="15" hidden="false" customHeight="false" outlineLevel="0" collapsed="false">
      <c r="A75" s="41" t="str">
        <f aca="false">IF(Február!A75="","",Február!A75)</f>
        <v>Játékok, szórakozás</v>
      </c>
      <c r="B75" s="42"/>
      <c r="C75" s="25"/>
      <c r="D75" s="42"/>
      <c r="E75" s="25" t="str">
        <f aca="false">IF(D75=0,"",D75-B75)</f>
        <v/>
      </c>
      <c r="F75" s="30" t="str">
        <f aca="false">IF(OR($C$118=0,B75=""),"",B75/$C$118)</f>
        <v/>
      </c>
    </row>
    <row r="76" customFormat="false" ht="15" hidden="false" customHeight="false" outlineLevel="0" collapsed="false">
      <c r="A76" s="41" t="str">
        <f aca="false">IF(Február!A76="","",Február!A76)</f>
        <v/>
      </c>
      <c r="B76" s="42"/>
      <c r="C76" s="25"/>
      <c r="D76" s="42"/>
      <c r="E76" s="25" t="str">
        <f aca="false">IF(D76=0,"",D76-B76)</f>
        <v/>
      </c>
      <c r="F76" s="30" t="str">
        <f aca="false">IF(OR($C$118=0,B76=""),"",B76/$C$118)</f>
        <v/>
      </c>
    </row>
    <row r="77" customFormat="false" ht="15" hidden="false" customHeight="false" outlineLevel="0" collapsed="false">
      <c r="A77" s="41" t="str">
        <f aca="false">IF(Február!A77="","",Február!A77)</f>
        <v/>
      </c>
      <c r="B77" s="42"/>
      <c r="C77" s="25"/>
      <c r="D77" s="42"/>
      <c r="E77" s="25" t="str">
        <f aca="false">IF(D77=0,"",D77-B77)</f>
        <v/>
      </c>
      <c r="F77" s="30" t="str">
        <f aca="false">IF(OR($C$118=0,B77=""),"",B77/$C$118)</f>
        <v/>
      </c>
    </row>
    <row r="78" customFormat="false" ht="15" hidden="false" customHeight="false" outlineLevel="0" collapsed="false">
      <c r="A78" s="41" t="str">
        <f aca="false">IF(Február!A78="","",Február!A78)</f>
        <v/>
      </c>
      <c r="B78" s="42"/>
      <c r="C78" s="25"/>
      <c r="D78" s="42"/>
      <c r="E78" s="25" t="str">
        <f aca="false">IF(D78=0,"",D78-B78)</f>
        <v/>
      </c>
      <c r="F78" s="30" t="str">
        <f aca="false">IF(OR($C$118=0,B78=""),"",B78/$C$118)</f>
        <v/>
      </c>
    </row>
    <row r="79" customFormat="false" ht="15" hidden="false" customHeight="false" outlineLevel="0" collapsed="false">
      <c r="A79" s="43" t="s">
        <v>119</v>
      </c>
      <c r="B79" s="35"/>
      <c r="C79" s="44" t="n">
        <f aca="false">SUM(B68:B78)</f>
        <v>0</v>
      </c>
      <c r="D79" s="44" t="n">
        <f aca="false">SUM(D68:D78)</f>
        <v>0</v>
      </c>
      <c r="E79" s="44" t="str">
        <f aca="false">IF(D79=0,"",D79-C79)</f>
        <v/>
      </c>
      <c r="F79" s="45" t="str">
        <f aca="false">IF(OR($C$118=0,C79=""),"",C79/$C$118)</f>
        <v/>
      </c>
    </row>
    <row r="80" customFormat="false" ht="15" hidden="false" customHeight="false" outlineLevel="0" collapsed="false">
      <c r="A80" s="39" t="s">
        <v>48</v>
      </c>
      <c r="B80" s="40"/>
      <c r="C80" s="40"/>
      <c r="D80" s="40"/>
      <c r="E80" s="40"/>
      <c r="F80" s="40"/>
    </row>
    <row r="81" customFormat="false" ht="15" hidden="false" customHeight="false" outlineLevel="0" collapsed="false">
      <c r="A81" s="41" t="str">
        <f aca="false">IF(Február!A81="","",Február!A81)</f>
        <v>Ruha</v>
      </c>
      <c r="B81" s="42"/>
      <c r="C81" s="25"/>
      <c r="D81" s="42"/>
      <c r="E81" s="25" t="str">
        <f aca="false">IF(D81=0,"",D81-B81)</f>
        <v/>
      </c>
      <c r="F81" s="30" t="str">
        <f aca="false">IF(OR($C$118=0,B81=""),"",B81/$C$118)</f>
        <v/>
      </c>
    </row>
    <row r="82" customFormat="false" ht="15" hidden="false" customHeight="false" outlineLevel="0" collapsed="false">
      <c r="A82" s="41" t="str">
        <f aca="false">IF(Február!A82="","",Február!A82)</f>
        <v>Cipő</v>
      </c>
      <c r="B82" s="42"/>
      <c r="C82" s="25"/>
      <c r="D82" s="42"/>
      <c r="E82" s="25" t="str">
        <f aca="false">IF(D82=0,"",D82-B82)</f>
        <v/>
      </c>
      <c r="F82" s="30" t="str">
        <f aca="false">IF(OR($C$118=0,B82=""),"",B82/$C$118)</f>
        <v/>
      </c>
    </row>
    <row r="83" customFormat="false" ht="15" hidden="false" customHeight="false" outlineLevel="0" collapsed="false">
      <c r="A83" s="41" t="str">
        <f aca="false">IF(Február!A83="","",Február!A83)</f>
        <v>Kiegészítők (táska, ékszer, óra)</v>
      </c>
      <c r="B83" s="42"/>
      <c r="C83" s="25"/>
      <c r="D83" s="42"/>
      <c r="E83" s="25" t="str">
        <f aca="false">IF(D83=0,"",D83-B83)</f>
        <v/>
      </c>
      <c r="F83" s="30" t="str">
        <f aca="false">IF(OR($C$118=0,B83=""),"",B83/$C$118)</f>
        <v/>
      </c>
    </row>
    <row r="84" customFormat="false" ht="15" hidden="false" customHeight="false" outlineLevel="0" collapsed="false">
      <c r="A84" s="41" t="str">
        <f aca="false">IF(Február!A84="","",Február!A84)</f>
        <v/>
      </c>
      <c r="B84" s="42"/>
      <c r="C84" s="25"/>
      <c r="D84" s="42"/>
      <c r="E84" s="25" t="str">
        <f aca="false">IF(D84=0,"",D84-B84)</f>
        <v/>
      </c>
      <c r="F84" s="30" t="str">
        <f aca="false">IF(OR($C$118=0,B84=""),"",B84/$C$118)</f>
        <v/>
      </c>
    </row>
    <row r="85" customFormat="false" ht="15" hidden="false" customHeight="false" outlineLevel="0" collapsed="false">
      <c r="A85" s="43" t="s">
        <v>123</v>
      </c>
      <c r="B85" s="35"/>
      <c r="C85" s="44" t="n">
        <f aca="false">SUM(B81:B84)</f>
        <v>0</v>
      </c>
      <c r="D85" s="44" t="n">
        <f aca="false">SUM(D81:D84)</f>
        <v>0</v>
      </c>
      <c r="E85" s="44" t="str">
        <f aca="false">IF(D85=0,"",D85-C85)</f>
        <v/>
      </c>
      <c r="F85" s="45" t="str">
        <f aca="false">IF(OR($C$118=0,C85=""),"",C85/$C$118)</f>
        <v/>
      </c>
    </row>
    <row r="86" customFormat="false" ht="15" hidden="false" customHeight="false" outlineLevel="0" collapsed="false">
      <c r="A86" s="39" t="s">
        <v>49</v>
      </c>
      <c r="B86" s="40"/>
      <c r="C86" s="40"/>
      <c r="D86" s="40"/>
      <c r="E86" s="40"/>
      <c r="F86" s="40"/>
    </row>
    <row r="87" customFormat="false" ht="15" hidden="false" customHeight="false" outlineLevel="0" collapsed="false">
      <c r="A87" s="41" t="str">
        <f aca="false">IF(Február!A87="","",Február!A87)</f>
        <v>Fodrász, borbély</v>
      </c>
      <c r="B87" s="42"/>
      <c r="C87" s="25"/>
      <c r="D87" s="42"/>
      <c r="E87" s="25" t="str">
        <f aca="false">IF(D87=0,"",D87-B87)</f>
        <v/>
      </c>
      <c r="F87" s="30" t="str">
        <f aca="false">IF(OR($C$118=0,B87=""),"",B87/$C$118)</f>
        <v/>
      </c>
    </row>
    <row r="88" customFormat="false" ht="15" hidden="false" customHeight="false" outlineLevel="0" collapsed="false">
      <c r="A88" s="41" t="str">
        <f aca="false">IF(Február!A88="","",Február!A88)</f>
        <v>Kozmetikus, manikűr, pedikűr</v>
      </c>
      <c r="B88" s="42"/>
      <c r="C88" s="25"/>
      <c r="D88" s="42"/>
      <c r="E88" s="25" t="str">
        <f aca="false">IF(D88=0,"",D88-B88)</f>
        <v/>
      </c>
      <c r="F88" s="30" t="str">
        <f aca="false">IF(OR($C$118=0,B88=""),"",B88/$C$118)</f>
        <v/>
      </c>
    </row>
    <row r="89" customFormat="false" ht="15" hidden="false" customHeight="false" outlineLevel="0" collapsed="false">
      <c r="A89" s="41" t="str">
        <f aca="false">IF(Február!A89="","",Február!A89)</f>
        <v>Kozmetikumok, parfüm</v>
      </c>
      <c r="B89" s="42"/>
      <c r="C89" s="25"/>
      <c r="D89" s="42"/>
      <c r="E89" s="25" t="str">
        <f aca="false">IF(D89=0,"",D89-B89)</f>
        <v/>
      </c>
      <c r="F89" s="30" t="str">
        <f aca="false">IF(OR($C$118=0,B89=""),"",B89/$C$118)</f>
        <v/>
      </c>
    </row>
    <row r="90" customFormat="false" ht="15" hidden="false" customHeight="false" outlineLevel="0" collapsed="false">
      <c r="A90" s="41" t="str">
        <f aca="false">IF(Február!A90="","",Február!A90)</f>
        <v>Edzés, sport, bérlet</v>
      </c>
      <c r="B90" s="42"/>
      <c r="C90" s="25"/>
      <c r="D90" s="42"/>
      <c r="E90" s="25" t="str">
        <f aca="false">IF(D90=0,"",D90-B90)</f>
        <v/>
      </c>
      <c r="F90" s="30" t="str">
        <f aca="false">IF(OR($C$118=0,B90=""),"",B90/$C$118)</f>
        <v/>
      </c>
    </row>
    <row r="91" customFormat="false" ht="15" hidden="false" customHeight="false" outlineLevel="0" collapsed="false">
      <c r="A91" s="41" t="str">
        <f aca="false">IF(Február!A91="","",Február!A91)</f>
        <v>Gyógyszer, vitamin</v>
      </c>
      <c r="B91" s="42"/>
      <c r="C91" s="25"/>
      <c r="D91" s="42"/>
      <c r="E91" s="25" t="str">
        <f aca="false">IF(D91=0,"",D91-B91)</f>
        <v/>
      </c>
      <c r="F91" s="30" t="str">
        <f aca="false">IF(OR($C$118=0,B91=""),"",B91/$C$118)</f>
        <v/>
      </c>
    </row>
    <row r="92" customFormat="false" ht="15" hidden="false" customHeight="false" outlineLevel="0" collapsed="false">
      <c r="A92" s="41" t="str">
        <f aca="false">IF(Február!A92="","",Február!A92)</f>
        <v>Orvos, fogorvos, magánrendelés</v>
      </c>
      <c r="B92" s="42"/>
      <c r="C92" s="25"/>
      <c r="D92" s="42"/>
      <c r="E92" s="25" t="str">
        <f aca="false">IF(D92=0,"",D92-B92)</f>
        <v/>
      </c>
      <c r="F92" s="30" t="str">
        <f aca="false">IF(OR($C$118=0,B92=""),"",B92/$C$118)</f>
        <v/>
      </c>
    </row>
    <row r="93" customFormat="false" ht="15" hidden="false" customHeight="false" outlineLevel="0" collapsed="false">
      <c r="A93" s="41" t="str">
        <f aca="false">IF(Február!A93="","",Február!A93)</f>
        <v/>
      </c>
      <c r="B93" s="42"/>
      <c r="C93" s="25"/>
      <c r="D93" s="42"/>
      <c r="E93" s="25" t="str">
        <f aca="false">IF(D93=0,"",D93-B93)</f>
        <v/>
      </c>
      <c r="F93" s="30" t="str">
        <f aca="false">IF(OR($C$118=0,B93=""),"",B93/$C$118)</f>
        <v/>
      </c>
    </row>
    <row r="94" customFormat="false" ht="15" hidden="false" customHeight="false" outlineLevel="0" collapsed="false">
      <c r="A94" s="43" t="s">
        <v>130</v>
      </c>
      <c r="B94" s="35"/>
      <c r="C94" s="44" t="n">
        <f aca="false">SUM(B87:B93)</f>
        <v>0</v>
      </c>
      <c r="D94" s="44" t="n">
        <f aca="false">SUM(D87:D93)</f>
        <v>0</v>
      </c>
      <c r="E94" s="44" t="str">
        <f aca="false">IF(D94=0,"",D94-C94)</f>
        <v/>
      </c>
      <c r="F94" s="45" t="str">
        <f aca="false">IF(OR($C$118=0,C94=""),"",C94/$C$118)</f>
        <v/>
      </c>
    </row>
    <row r="95" customFormat="false" ht="15" hidden="false" customHeight="false" outlineLevel="0" collapsed="false">
      <c r="A95" s="39" t="s">
        <v>50</v>
      </c>
      <c r="B95" s="40"/>
      <c r="C95" s="40"/>
      <c r="D95" s="40"/>
      <c r="E95" s="40"/>
      <c r="F95" s="40"/>
    </row>
    <row r="96" customFormat="false" ht="15" hidden="false" customHeight="false" outlineLevel="0" collapsed="false">
      <c r="A96" s="41" t="str">
        <f aca="false">IF(Február!A96="","",Február!A96)</f>
        <v>Cigaretta, dohány</v>
      </c>
      <c r="B96" s="42"/>
      <c r="C96" s="25"/>
      <c r="D96" s="42"/>
      <c r="E96" s="25" t="str">
        <f aca="false">IF(D96=0,"",D96-B96)</f>
        <v/>
      </c>
      <c r="F96" s="30" t="str">
        <f aca="false">IF(OR($C$118=0,B96=""),"",B96/$C$118)</f>
        <v/>
      </c>
    </row>
    <row r="97" customFormat="false" ht="15" hidden="false" customHeight="false" outlineLevel="0" collapsed="false">
      <c r="A97" s="41" t="str">
        <f aca="false">IF(Február!A97="","",Február!A97)</f>
        <v>E-cigaretta, hevített dohánytermék</v>
      </c>
      <c r="B97" s="42"/>
      <c r="C97" s="25"/>
      <c r="D97" s="42"/>
      <c r="E97" s="25" t="str">
        <f aca="false">IF(D97=0,"",D97-B97)</f>
        <v/>
      </c>
      <c r="F97" s="30" t="str">
        <f aca="false">IF(OR($C$118=0,B97=""),"",B97/$C$118)</f>
        <v/>
      </c>
    </row>
    <row r="98" customFormat="false" ht="15" hidden="false" customHeight="false" outlineLevel="0" collapsed="false">
      <c r="A98" s="41" t="str">
        <f aca="false">IF(Február!A98="","",Február!A98)</f>
        <v/>
      </c>
      <c r="B98" s="42"/>
      <c r="C98" s="25"/>
      <c r="D98" s="42"/>
      <c r="E98" s="25" t="str">
        <f aca="false">IF(D98=0,"",D98-B98)</f>
        <v/>
      </c>
      <c r="F98" s="30" t="str">
        <f aca="false">IF(OR($C$118=0,B98=""),"",B98/$C$118)</f>
        <v/>
      </c>
    </row>
    <row r="99" customFormat="false" ht="15" hidden="false" customHeight="false" outlineLevel="0" collapsed="false">
      <c r="A99" s="43" t="s">
        <v>133</v>
      </c>
      <c r="B99" s="35"/>
      <c r="C99" s="44" t="n">
        <f aca="false">SUM(B96:B98)</f>
        <v>0</v>
      </c>
      <c r="D99" s="44" t="n">
        <f aca="false">SUM(D96:D98)</f>
        <v>0</v>
      </c>
      <c r="E99" s="44" t="str">
        <f aca="false">IF(D99=0,"",D99-C99)</f>
        <v/>
      </c>
      <c r="F99" s="45" t="str">
        <f aca="false">IF(OR($C$118=0,C99=""),"",C99/$C$118)</f>
        <v/>
      </c>
    </row>
    <row r="100" customFormat="false" ht="15" hidden="false" customHeight="false" outlineLevel="0" collapsed="false">
      <c r="A100" s="39" t="s">
        <v>51</v>
      </c>
      <c r="B100" s="40"/>
      <c r="C100" s="40"/>
      <c r="D100" s="40"/>
      <c r="E100" s="40"/>
      <c r="F100" s="40"/>
    </row>
    <row r="101" customFormat="false" ht="15" hidden="false" customHeight="false" outlineLevel="0" collapsed="false">
      <c r="A101" s="41" t="str">
        <f aca="false">IF(Február!A101="","",Február!A101)</f>
        <v>Állateledel, jutalomfalat</v>
      </c>
      <c r="B101" s="42"/>
      <c r="C101" s="25"/>
      <c r="D101" s="42"/>
      <c r="E101" s="25" t="str">
        <f aca="false">IF(D101=0,"",D101-B101)</f>
        <v/>
      </c>
      <c r="F101" s="30" t="str">
        <f aca="false">IF(OR($C$118=0,B101=""),"",B101/$C$118)</f>
        <v/>
      </c>
    </row>
    <row r="102" customFormat="false" ht="15" hidden="false" customHeight="false" outlineLevel="0" collapsed="false">
      <c r="A102" s="41" t="str">
        <f aca="false">IF(Február!A102="","",Február!A102)</f>
        <v>Állatorvos, oltások, gyógyszer</v>
      </c>
      <c r="B102" s="42"/>
      <c r="C102" s="25"/>
      <c r="D102" s="42"/>
      <c r="E102" s="25" t="str">
        <f aca="false">IF(D102=0,"",D102-B102)</f>
        <v/>
      </c>
      <c r="F102" s="30" t="str">
        <f aca="false">IF(OR($C$118=0,B102=""),"",B102/$C$118)</f>
        <v/>
      </c>
    </row>
    <row r="103" customFormat="false" ht="15" hidden="false" customHeight="false" outlineLevel="0" collapsed="false">
      <c r="A103" s="41" t="str">
        <f aca="false">IF(Február!A103="","",Február!A103)</f>
        <v>Felszerelés, alom, játékok</v>
      </c>
      <c r="B103" s="42"/>
      <c r="C103" s="25"/>
      <c r="D103" s="42"/>
      <c r="E103" s="25" t="str">
        <f aca="false">IF(D103=0,"",D103-B103)</f>
        <v/>
      </c>
      <c r="F103" s="30" t="str">
        <f aca="false">IF(OR($C$118=0,B103=""),"",B103/$C$118)</f>
        <v/>
      </c>
    </row>
    <row r="104" customFormat="false" ht="15" hidden="false" customHeight="false" outlineLevel="0" collapsed="false">
      <c r="A104" s="41" t="str">
        <f aca="false">IF(Február!A104="","",Február!A104)</f>
        <v>Kisállat-kozmetika, panzió, kutyaiskola</v>
      </c>
      <c r="B104" s="42"/>
      <c r="C104" s="25"/>
      <c r="D104" s="42"/>
      <c r="E104" s="25" t="str">
        <f aca="false">IF(D104=0,"",D104-B104)</f>
        <v/>
      </c>
      <c r="F104" s="30" t="str">
        <f aca="false">IF(OR($C$118=0,B104=""),"",B104/$C$118)</f>
        <v/>
      </c>
    </row>
    <row r="105" customFormat="false" ht="15" hidden="false" customHeight="false" outlineLevel="0" collapsed="false">
      <c r="A105" s="41" t="str">
        <f aca="false">IF(Február!A105="","",Február!A105)</f>
        <v/>
      </c>
      <c r="B105" s="42"/>
      <c r="C105" s="25"/>
      <c r="D105" s="42"/>
      <c r="E105" s="25" t="str">
        <f aca="false">IF(D105=0,"",D105-B105)</f>
        <v/>
      </c>
      <c r="F105" s="30" t="str">
        <f aca="false">IF(OR($C$118=0,B105=""),"",B105/$C$118)</f>
        <v/>
      </c>
    </row>
    <row r="106" customFormat="false" ht="15" hidden="false" customHeight="false" outlineLevel="0" collapsed="false">
      <c r="A106" s="43" t="s">
        <v>138</v>
      </c>
      <c r="B106" s="35"/>
      <c r="C106" s="44" t="n">
        <f aca="false">SUM(B101:B105)</f>
        <v>0</v>
      </c>
      <c r="D106" s="44" t="n">
        <f aca="false">SUM(D101:D105)</f>
        <v>0</v>
      </c>
      <c r="E106" s="44" t="str">
        <f aca="false">IF(D106=0,"",D106-C106)</f>
        <v/>
      </c>
      <c r="F106" s="45" t="str">
        <f aca="false">IF(OR($C$118=0,C106=""),"",C106/$C$118)</f>
        <v/>
      </c>
    </row>
    <row r="107" customFormat="false" ht="15" hidden="false" customHeight="false" outlineLevel="0" collapsed="false">
      <c r="A107" s="39" t="s">
        <v>52</v>
      </c>
      <c r="B107" s="40"/>
      <c r="C107" s="40"/>
      <c r="D107" s="40"/>
      <c r="E107" s="40"/>
      <c r="F107" s="40"/>
    </row>
    <row r="108" customFormat="false" ht="15" hidden="false" customHeight="false" outlineLevel="0" collapsed="false">
      <c r="A108" s="41" t="str">
        <f aca="false">IF(Február!A108="","",Február!A108)</f>
        <v>Hobbi</v>
      </c>
      <c r="B108" s="42"/>
      <c r="C108" s="25"/>
      <c r="D108" s="42"/>
      <c r="E108" s="25" t="str">
        <f aca="false">IF(D108=0,"",D108-B108)</f>
        <v/>
      </c>
      <c r="F108" s="30" t="str">
        <f aca="false">IF(OR($C$118=0,B108=""),"",B108/$C$118)</f>
        <v/>
      </c>
    </row>
    <row r="109" customFormat="false" ht="15" hidden="false" customHeight="false" outlineLevel="0" collapsed="false">
      <c r="A109" s="41" t="str">
        <f aca="false">IF(Február!A109="","",Február!A109)</f>
        <v>Szórakozás (mozi, színház, koncert, étterem)</v>
      </c>
      <c r="B109" s="42"/>
      <c r="C109" s="25"/>
      <c r="D109" s="42"/>
      <c r="E109" s="25" t="str">
        <f aca="false">IF(D109=0,"",D109-B109)</f>
        <v/>
      </c>
      <c r="F109" s="30" t="str">
        <f aca="false">IF(OR($C$118=0,B109=""),"",B109/$C$118)</f>
        <v/>
      </c>
    </row>
    <row r="110" customFormat="false" ht="15" hidden="false" customHeight="false" outlineLevel="0" collapsed="false">
      <c r="A110" s="41" t="str">
        <f aca="false">IF(Február!A110="","",Február!A110)</f>
        <v>Nyaralás, utazás</v>
      </c>
      <c r="B110" s="42"/>
      <c r="C110" s="25"/>
      <c r="D110" s="42"/>
      <c r="E110" s="25" t="str">
        <f aca="false">IF(D110=0,"",D110-B110)</f>
        <v/>
      </c>
      <c r="F110" s="30" t="str">
        <f aca="false">IF(OR($C$118=0,B110=""),"",B110/$C$118)</f>
        <v/>
      </c>
    </row>
    <row r="111" customFormat="false" ht="15" hidden="false" customHeight="false" outlineLevel="0" collapsed="false">
      <c r="A111" s="41" t="str">
        <f aca="false">IF(Február!A111="","",Február!A111)</f>
        <v/>
      </c>
      <c r="B111" s="42"/>
      <c r="C111" s="25"/>
      <c r="D111" s="42"/>
      <c r="E111" s="25" t="str">
        <f aca="false">IF(D111=0,"",D111-B111)</f>
        <v/>
      </c>
      <c r="F111" s="30" t="str">
        <f aca="false">IF(OR($C$118=0,B111=""),"",B111/$C$118)</f>
        <v/>
      </c>
    </row>
    <row r="112" customFormat="false" ht="15" hidden="false" customHeight="false" outlineLevel="0" collapsed="false">
      <c r="A112" s="43" t="s">
        <v>142</v>
      </c>
      <c r="B112" s="35"/>
      <c r="C112" s="44" t="n">
        <f aca="false">SUM(B108:B111)</f>
        <v>0</v>
      </c>
      <c r="D112" s="44" t="n">
        <f aca="false">SUM(D108:D111)</f>
        <v>0</v>
      </c>
      <c r="E112" s="44" t="str">
        <f aca="false">IF(D112=0,"",D112-C112)</f>
        <v/>
      </c>
      <c r="F112" s="45" t="str">
        <f aca="false">IF(OR($C$118=0,C112=""),"",C112/$C$118)</f>
        <v/>
      </c>
    </row>
    <row r="113" customFormat="false" ht="15" hidden="false" customHeight="false" outlineLevel="0" collapsed="false">
      <c r="A113" s="39" t="s">
        <v>53</v>
      </c>
      <c r="B113" s="40"/>
      <c r="C113" s="40"/>
      <c r="D113" s="40"/>
      <c r="E113" s="40"/>
      <c r="F113" s="40"/>
    </row>
    <row r="114" customFormat="false" ht="15" hidden="false" customHeight="false" outlineLevel="0" collapsed="false">
      <c r="A114" s="41" t="str">
        <f aca="false">IF(Február!A114="","",Február!A114)</f>
        <v>Ünnepek, ajándékok</v>
      </c>
      <c r="B114" s="42"/>
      <c r="C114" s="25"/>
      <c r="D114" s="42"/>
      <c r="E114" s="25" t="str">
        <f aca="false">IF(D114=0,"",D114-B114)</f>
        <v/>
      </c>
      <c r="F114" s="30" t="str">
        <f aca="false">IF(OR($C$118=0,B114=""),"",B114/$C$118)</f>
        <v/>
      </c>
    </row>
    <row r="115" customFormat="false" ht="15" hidden="false" customHeight="false" outlineLevel="0" collapsed="false">
      <c r="A115" s="41" t="str">
        <f aca="false">IF(Február!A115="","",Február!A115)</f>
        <v>Egyéb kiadás</v>
      </c>
      <c r="B115" s="42"/>
      <c r="C115" s="25"/>
      <c r="D115" s="42"/>
      <c r="E115" s="25" t="str">
        <f aca="false">IF(D115=0,"",D115-B115)</f>
        <v/>
      </c>
      <c r="F115" s="30" t="str">
        <f aca="false">IF(OR($C$118=0,B115=""),"",B115/$C$118)</f>
        <v/>
      </c>
    </row>
    <row r="116" customFormat="false" ht="15" hidden="false" customHeight="false" outlineLevel="0" collapsed="false">
      <c r="A116" s="41" t="str">
        <f aca="false">IF(Február!A116="","",Február!A116)</f>
        <v/>
      </c>
      <c r="B116" s="42"/>
      <c r="C116" s="25"/>
      <c r="D116" s="42"/>
      <c r="E116" s="25" t="str">
        <f aca="false">IF(D116=0,"",D116-B116)</f>
        <v/>
      </c>
      <c r="F116" s="30" t="str">
        <f aca="false">IF(OR($C$118=0,B116=""),"",B116/$C$118)</f>
        <v/>
      </c>
    </row>
    <row r="117" customFormat="false" ht="15" hidden="false" customHeight="false" outlineLevel="0" collapsed="false">
      <c r="A117" s="43" t="s">
        <v>145</v>
      </c>
      <c r="B117" s="35"/>
      <c r="C117" s="44" t="n">
        <f aca="false">SUM(B114:B116)</f>
        <v>0</v>
      </c>
      <c r="D117" s="44" t="n">
        <f aca="false">SUM(D114:D116)</f>
        <v>0</v>
      </c>
      <c r="E117" s="44" t="str">
        <f aca="false">IF(D117=0,"",D117-C117)</f>
        <v/>
      </c>
      <c r="F117" s="45" t="str">
        <f aca="false">IF(OR($C$118=0,C117=""),"",C117/$C$118)</f>
        <v/>
      </c>
    </row>
    <row r="118" customFormat="false" ht="15" hidden="false" customHeight="false" outlineLevel="0" collapsed="false">
      <c r="A118" s="33" t="s">
        <v>146</v>
      </c>
      <c r="B118" s="33"/>
      <c r="C118" s="50" t="n">
        <f aca="false">C35+C42+C52+C66+C79+C85+C94+C99+C106+C112+C117</f>
        <v>0</v>
      </c>
      <c r="D118" s="50" t="n">
        <f aca="false">D35+D42+D52+D66+D79+D85+D94+D99+D106+D112+D117</f>
        <v>0</v>
      </c>
      <c r="E118" s="50" t="str">
        <f aca="false">IF(D118=0,"",D118-C118)</f>
        <v/>
      </c>
      <c r="F118" s="51" t="str">
        <f aca="false">IF($C$16=0,"",C118/$C$16)</f>
        <v/>
      </c>
    </row>
    <row r="119" customFormat="false" ht="15" hidden="false" customHeight="false" outlineLevel="0" collapsed="false">
      <c r="A119" s="8" t="s">
        <v>147</v>
      </c>
      <c r="B119" s="8"/>
      <c r="C119" s="8" t="s">
        <v>148</v>
      </c>
      <c r="D119" s="8" t="s">
        <v>149</v>
      </c>
      <c r="E119" s="8"/>
      <c r="F119" s="8" t="s">
        <v>150</v>
      </c>
    </row>
    <row r="120" customFormat="false" ht="15" hidden="false" customHeight="false" outlineLevel="0" collapsed="false">
      <c r="A120" s="13" t="s">
        <v>151</v>
      </c>
      <c r="B120" s="52"/>
      <c r="C120" s="53" t="n">
        <f aca="false">C16</f>
        <v>0</v>
      </c>
      <c r="D120" s="53" t="n">
        <f aca="false">D16</f>
        <v>0</v>
      </c>
      <c r="E120" s="52"/>
      <c r="F120" s="54" t="str">
        <f aca="false">IF($C$120=0,"",C120/$C$120)</f>
        <v/>
      </c>
    </row>
    <row r="121" customFormat="false" ht="15" hidden="false" customHeight="false" outlineLevel="0" collapsed="false">
      <c r="A121" s="17" t="s">
        <v>152</v>
      </c>
      <c r="B121" s="52"/>
      <c r="C121" s="53" t="n">
        <f aca="false">C28</f>
        <v>0</v>
      </c>
      <c r="D121" s="53" t="n">
        <f aca="false">D28</f>
        <v>0</v>
      </c>
      <c r="E121" s="52"/>
      <c r="F121" s="54" t="str">
        <f aca="false">IF($C$120=0,"",C121/$C$120)</f>
        <v/>
      </c>
    </row>
    <row r="122" customFormat="false" ht="15" hidden="false" customHeight="false" outlineLevel="0" collapsed="false">
      <c r="A122" s="18" t="s">
        <v>153</v>
      </c>
      <c r="B122" s="52"/>
      <c r="C122" s="53" t="n">
        <f aca="false">C118</f>
        <v>0</v>
      </c>
      <c r="D122" s="53" t="n">
        <f aca="false">D118</f>
        <v>0</v>
      </c>
      <c r="E122" s="52"/>
      <c r="F122" s="54" t="str">
        <f aca="false">IF($C$120=0,"",C122/$C$120)</f>
        <v/>
      </c>
    </row>
    <row r="123" customFormat="false" ht="15" hidden="false" customHeight="false" outlineLevel="0" collapsed="false">
      <c r="A123" s="33" t="s">
        <v>154</v>
      </c>
      <c r="B123" s="33"/>
      <c r="C123" s="50" t="n">
        <f aca="false">C121+C122</f>
        <v>0</v>
      </c>
      <c r="D123" s="50" t="n">
        <f aca="false">D121+D122</f>
        <v>0</v>
      </c>
      <c r="E123" s="33"/>
      <c r="F123" s="51" t="str">
        <f aca="false">IF($C$120=0,"",C123/$C$120)</f>
        <v/>
      </c>
    </row>
    <row r="124" customFormat="false" ht="15" hidden="false" customHeight="false" outlineLevel="0" collapsed="false">
      <c r="A124" s="19" t="s">
        <v>155</v>
      </c>
      <c r="B124" s="19"/>
      <c r="C124" s="20" t="n">
        <f aca="false">C120-C123</f>
        <v>0</v>
      </c>
      <c r="D124" s="20" t="n">
        <f aca="false">D120-D123</f>
        <v>0</v>
      </c>
      <c r="E124" s="19"/>
      <c r="F124" s="55" t="str">
        <f aca="false">IF($C$120=0,"",C124/$C$120)</f>
        <v/>
      </c>
    </row>
    <row r="125" customFormat="false" ht="15" hidden="false" customHeight="false" outlineLevel="0" collapsed="false">
      <c r="A125" s="24" t="s">
        <v>156</v>
      </c>
      <c r="B125" s="24"/>
      <c r="C125" s="23" t="str">
        <f aca="false">IF(C120=0,"–",C121/C120)</f>
        <v>–</v>
      </c>
      <c r="D125" s="23" t="str">
        <f aca="false">IF(D120=0,"–",D121/D120)</f>
        <v>–</v>
      </c>
      <c r="E125" s="24"/>
      <c r="F125" s="24"/>
    </row>
    <row r="126" customFormat="false" ht="15" hidden="false" customHeight="false" outlineLevel="0" collapsed="false">
      <c r="A126" s="36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7" t="str">
        <f aca="false">" 💰 HAVI KÖLTSÉGVETÉS — "&amp;UPPER("Április")&amp;" "&amp;'📊 Éves Összesítő'!$B$2</f>
        <v> 💰 HAVI KÖLTSÉGVETÉS — ÁPRILIS 2026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37" t="s">
        <v>56</v>
      </c>
      <c r="B2" s="38" t="s">
        <v>57</v>
      </c>
      <c r="C2" s="38" t="s">
        <v>58</v>
      </c>
      <c r="D2" s="38" t="s">
        <v>59</v>
      </c>
      <c r="E2" s="38" t="s">
        <v>60</v>
      </c>
      <c r="F2" s="38" t="s">
        <v>33</v>
      </c>
    </row>
    <row r="3" customFormat="false" ht="18" hidden="false" customHeight="true" outlineLevel="0" collapsed="false">
      <c r="A3" s="26" t="s">
        <v>61</v>
      </c>
      <c r="B3" s="26"/>
      <c r="C3" s="26"/>
      <c r="D3" s="26"/>
      <c r="E3" s="26"/>
      <c r="F3" s="26"/>
    </row>
    <row r="4" customFormat="false" ht="15" hidden="false" customHeight="false" outlineLevel="0" collapsed="false">
      <c r="A4" s="39" t="s">
        <v>62</v>
      </c>
      <c r="B4" s="40"/>
      <c r="C4" s="40"/>
      <c r="D4" s="40"/>
      <c r="E4" s="40"/>
      <c r="F4" s="40"/>
    </row>
    <row r="5" customFormat="false" ht="15" hidden="false" customHeight="false" outlineLevel="0" collapsed="false">
      <c r="A5" s="41" t="str">
        <f aca="false">IF(Március!A5="","",Március!A5)</f>
        <v>Munkabér 1 (pl. saját)</v>
      </c>
      <c r="B5" s="42"/>
      <c r="C5" s="25"/>
      <c r="D5" s="42"/>
      <c r="E5" s="25" t="str">
        <f aca="false">IF(D5=0,"",B5-D5)</f>
        <v/>
      </c>
      <c r="F5" s="30" t="str">
        <f aca="false">IF(OR($C$16=0,B5=""),"",B5/$C$16)</f>
        <v/>
      </c>
    </row>
    <row r="6" customFormat="false" ht="15" hidden="false" customHeight="false" outlineLevel="0" collapsed="false">
      <c r="A6" s="41" t="str">
        <f aca="false">IF(Március!A6="","",Március!A6)</f>
        <v>Munkabér 2 (pl. partner)</v>
      </c>
      <c r="B6" s="42"/>
      <c r="C6" s="25"/>
      <c r="D6" s="42"/>
      <c r="E6" s="25" t="str">
        <f aca="false">IF(D6=0,"",B6-D6)</f>
        <v/>
      </c>
      <c r="F6" s="30" t="str">
        <f aca="false">IF(OR($C$16=0,B6=""),"",B6/$C$16)</f>
        <v/>
      </c>
    </row>
    <row r="7" customFormat="false" ht="15" hidden="false" customHeight="false" outlineLevel="0" collapsed="false">
      <c r="A7" s="41" t="str">
        <f aca="false">IF(Március!A7="","",Március!A7)</f>
        <v>Vállalkozói bevétel</v>
      </c>
      <c r="B7" s="42"/>
      <c r="C7" s="25"/>
      <c r="D7" s="42"/>
      <c r="E7" s="25" t="str">
        <f aca="false">IF(D7=0,"",B7-D7)</f>
        <v/>
      </c>
      <c r="F7" s="30" t="str">
        <f aca="false">IF(OR($C$16=0,B7=""),"",B7/$C$16)</f>
        <v/>
      </c>
    </row>
    <row r="8" customFormat="false" ht="15" hidden="false" customHeight="false" outlineLevel="0" collapsed="false">
      <c r="A8" s="41" t="str">
        <f aca="false">IF(Március!A8="","",Március!A8)</f>
        <v/>
      </c>
      <c r="B8" s="42"/>
      <c r="C8" s="25"/>
      <c r="D8" s="42"/>
      <c r="E8" s="25" t="str">
        <f aca="false">IF(D8=0,"",B8-D8)</f>
        <v/>
      </c>
      <c r="F8" s="30" t="str">
        <f aca="false">IF(OR($C$16=0,B8=""),"",B8/$C$16)</f>
        <v/>
      </c>
    </row>
    <row r="9" customFormat="false" ht="15" hidden="false" customHeight="false" outlineLevel="0" collapsed="false">
      <c r="A9" s="43" t="s">
        <v>66</v>
      </c>
      <c r="B9" s="35"/>
      <c r="C9" s="44" t="n">
        <f aca="false">SUM(B5:B8)</f>
        <v>0</v>
      </c>
      <c r="D9" s="44" t="n">
        <f aca="false">SUM(D5:D8)</f>
        <v>0</v>
      </c>
      <c r="E9" s="44" t="str">
        <f aca="false">IF(D9=0,"",C9-D9)</f>
        <v/>
      </c>
      <c r="F9" s="45" t="str">
        <f aca="false">IF(OR($C$16=0,C9=""),"",C9/$C$16)</f>
        <v/>
      </c>
    </row>
    <row r="10" customFormat="false" ht="15" hidden="false" customHeight="false" outlineLevel="0" collapsed="false">
      <c r="A10" s="39" t="s">
        <v>67</v>
      </c>
      <c r="B10" s="40"/>
      <c r="C10" s="40"/>
      <c r="D10" s="40"/>
      <c r="E10" s="40"/>
      <c r="F10" s="40"/>
    </row>
    <row r="11" customFormat="false" ht="15" hidden="false" customHeight="false" outlineLevel="0" collapsed="false">
      <c r="A11" s="41" t="str">
        <f aca="false">IF(Március!A11="","",Március!A11)</f>
        <v>CSED / GYED / GYES</v>
      </c>
      <c r="B11" s="42"/>
      <c r="C11" s="25"/>
      <c r="D11" s="42"/>
      <c r="E11" s="25" t="str">
        <f aca="false">IF(D11=0,"",B11-D11)</f>
        <v/>
      </c>
      <c r="F11" s="30" t="str">
        <f aca="false">IF(OR($C$16=0,B11=""),"",B11/$C$16)</f>
        <v/>
      </c>
    </row>
    <row r="12" customFormat="false" ht="15" hidden="false" customHeight="false" outlineLevel="0" collapsed="false">
      <c r="A12" s="41" t="str">
        <f aca="false">IF(Március!A12="","",Március!A12)</f>
        <v>Családi pótlék</v>
      </c>
      <c r="B12" s="42"/>
      <c r="C12" s="25"/>
      <c r="D12" s="42"/>
      <c r="E12" s="25" t="str">
        <f aca="false">IF(D12=0,"",B12-D12)</f>
        <v/>
      </c>
      <c r="F12" s="30" t="str">
        <f aca="false">IF(OR($C$16=0,B12=""),"",B12/$C$16)</f>
        <v/>
      </c>
    </row>
    <row r="13" customFormat="false" ht="15" hidden="false" customHeight="false" outlineLevel="0" collapsed="false">
      <c r="A13" s="41" t="str">
        <f aca="false">IF(Március!A13="","",Március!A13)</f>
        <v>Egyéb (lakáskiadás, bónusz stb.)</v>
      </c>
      <c r="B13" s="42"/>
      <c r="C13" s="25"/>
      <c r="D13" s="42"/>
      <c r="E13" s="25" t="str">
        <f aca="false">IF(D13=0,"",B13-D13)</f>
        <v/>
      </c>
      <c r="F13" s="30" t="str">
        <f aca="false">IF(OR($C$16=0,B13=""),"",B13/$C$16)</f>
        <v/>
      </c>
    </row>
    <row r="14" customFormat="false" ht="15" hidden="false" customHeight="false" outlineLevel="0" collapsed="false">
      <c r="A14" s="41" t="str">
        <f aca="false">IF(Március!A14="","",Március!A14)</f>
        <v/>
      </c>
      <c r="B14" s="42"/>
      <c r="C14" s="25"/>
      <c r="D14" s="42"/>
      <c r="E14" s="25" t="str">
        <f aca="false">IF(D14=0,"",B14-D14)</f>
        <v/>
      </c>
      <c r="F14" s="30" t="str">
        <f aca="false">IF(OR($C$16=0,B14=""),"",B14/$C$16)</f>
        <v/>
      </c>
    </row>
    <row r="15" customFormat="false" ht="15" hidden="false" customHeight="false" outlineLevel="0" collapsed="false">
      <c r="A15" s="43" t="s">
        <v>71</v>
      </c>
      <c r="B15" s="35"/>
      <c r="C15" s="44" t="n">
        <f aca="false">SUM(B11:B14)</f>
        <v>0</v>
      </c>
      <c r="D15" s="44" t="n">
        <f aca="false">SUM(D11:D14)</f>
        <v>0</v>
      </c>
      <c r="E15" s="44" t="str">
        <f aca="false">IF(D15=0,"",C15-D15)</f>
        <v/>
      </c>
      <c r="F15" s="45" t="str">
        <f aca="false">IF(OR($C$16=0,C15=""),"",C15/$C$16)</f>
        <v/>
      </c>
    </row>
    <row r="16" customFormat="false" ht="15" hidden="false" customHeight="false" outlineLevel="0" collapsed="false">
      <c r="A16" s="26" t="s">
        <v>72</v>
      </c>
      <c r="B16" s="26"/>
      <c r="C16" s="46" t="n">
        <f aca="false">C9+C15</f>
        <v>0</v>
      </c>
      <c r="D16" s="46" t="n">
        <f aca="false">D9+D15</f>
        <v>0</v>
      </c>
      <c r="E16" s="46" t="str">
        <f aca="false">IF(D16=0,"",C16-D16)</f>
        <v/>
      </c>
      <c r="F16" s="47" t="str">
        <f aca="false">IF($C$16=0,"",1)</f>
        <v/>
      </c>
    </row>
    <row r="17" customFormat="false" ht="18" hidden="false" customHeight="true" outlineLevel="0" collapsed="false">
      <c r="A17" s="31" t="s">
        <v>73</v>
      </c>
      <c r="B17" s="31"/>
      <c r="C17" s="31"/>
      <c r="D17" s="31"/>
      <c r="E17" s="31"/>
      <c r="F17" s="31"/>
    </row>
    <row r="18" customFormat="false" ht="15" hidden="false" customHeight="false" outlineLevel="0" collapsed="false">
      <c r="A18" s="41" t="str">
        <f aca="false">IF(Március!A18="","",Március!A18)</f>
        <v>Vésztartalék</v>
      </c>
      <c r="B18" s="42"/>
      <c r="C18" s="25"/>
      <c r="D18" s="42"/>
      <c r="E18" s="25" t="str">
        <f aca="false">IF(D18=0,"",B18-D18)</f>
        <v/>
      </c>
      <c r="F18" s="30" t="str">
        <f aca="false">IF(OR($C$28=0,B18=""),"",B18/$C$28)</f>
        <v/>
      </c>
    </row>
    <row r="19" customFormat="false" ht="15" hidden="false" customHeight="false" outlineLevel="0" collapsed="false">
      <c r="A19" s="41" t="str">
        <f aca="false">IF(Március!A19="","",Március!A19)</f>
        <v>Lakástakarékpénztár</v>
      </c>
      <c r="B19" s="42"/>
      <c r="C19" s="25"/>
      <c r="D19" s="42"/>
      <c r="E19" s="25" t="str">
        <f aca="false">IF(D19=0,"",B19-D19)</f>
        <v/>
      </c>
      <c r="F19" s="30" t="str">
        <f aca="false">IF(OR($C$28=0,B19=""),"",B19/$C$28)</f>
        <v/>
      </c>
    </row>
    <row r="20" customFormat="false" ht="15" hidden="false" customHeight="false" outlineLevel="0" collapsed="false">
      <c r="A20" s="41" t="str">
        <f aca="false">IF(Március!A20="","",Március!A20)</f>
        <v>Általános cél</v>
      </c>
      <c r="B20" s="42"/>
      <c r="C20" s="25"/>
      <c r="D20" s="42"/>
      <c r="E20" s="25" t="str">
        <f aca="false">IF(D20=0,"",B20-D20)</f>
        <v/>
      </c>
      <c r="F20" s="30" t="str">
        <f aca="false">IF(OR($C$28=0,B20=""),"",B20/$C$28)</f>
        <v/>
      </c>
    </row>
    <row r="21" customFormat="false" ht="15" hidden="false" customHeight="false" outlineLevel="0" collapsed="false">
      <c r="A21" s="41" t="str">
        <f aca="false">IF(Március!A21="","",Március!A21)</f>
        <v>Hosszú távú (min. 10 éves, általános célú)</v>
      </c>
      <c r="B21" s="42"/>
      <c r="C21" s="25"/>
      <c r="D21" s="42"/>
      <c r="E21" s="25" t="str">
        <f aca="false">IF(D21=0,"",B21-D21)</f>
        <v/>
      </c>
      <c r="F21" s="30" t="str">
        <f aca="false">IF(OR($C$28=0,B21=""),"",B21/$C$28)</f>
        <v/>
      </c>
    </row>
    <row r="22" customFormat="false" ht="15" hidden="false" customHeight="false" outlineLevel="0" collapsed="false">
      <c r="A22" s="41" t="str">
        <f aca="false">IF(Március!A22="","",Március!A22)</f>
        <v>Hosszú távú (min. 10 éves, lakás célú)</v>
      </c>
      <c r="B22" s="42"/>
      <c r="C22" s="25"/>
      <c r="D22" s="42"/>
      <c r="E22" s="25" t="str">
        <f aca="false">IF(D22=0,"",B22-D22)</f>
        <v/>
      </c>
      <c r="F22" s="30" t="str">
        <f aca="false">IF(OR($C$28=0,B22=""),"",B22/$C$28)</f>
        <v/>
      </c>
    </row>
    <row r="23" customFormat="false" ht="15" hidden="false" customHeight="false" outlineLevel="0" collapsed="false">
      <c r="A23" s="41" t="str">
        <f aca="false">IF(Március!A23="","",Március!A23)</f>
        <v>Hosszú távú (min. 10 éves, gyermek jövője célú)</v>
      </c>
      <c r="B23" s="42"/>
      <c r="C23" s="25"/>
      <c r="D23" s="42"/>
      <c r="E23" s="25" t="str">
        <f aca="false">IF(D23=0,"",B23-D23)</f>
        <v/>
      </c>
      <c r="F23" s="30" t="str">
        <f aca="false">IF(OR($C$28=0,B23=""),"",B23/$C$28)</f>
        <v/>
      </c>
    </row>
    <row r="24" customFormat="false" ht="15" hidden="false" customHeight="false" outlineLevel="0" collapsed="false">
      <c r="A24" s="41" t="str">
        <f aca="false">IF(Március!A24="","",Március!A24)</f>
        <v>Hosszú távú (min. 15 éves, nyugdíj célú)</v>
      </c>
      <c r="B24" s="42"/>
      <c r="C24" s="25"/>
      <c r="D24" s="42"/>
      <c r="E24" s="25" t="str">
        <f aca="false">IF(D24=0,"",B24-D24)</f>
        <v/>
      </c>
      <c r="F24" s="30" t="str">
        <f aca="false">IF(OR($C$28=0,B24=""),"",B24/$C$28)</f>
        <v/>
      </c>
    </row>
    <row r="25" customFormat="false" ht="15" hidden="false" customHeight="false" outlineLevel="0" collapsed="false">
      <c r="A25" s="41" t="str">
        <f aca="false">IF(Március!A25="","",Március!A25)</f>
        <v>Nyugdíjbiztosítás</v>
      </c>
      <c r="B25" s="42"/>
      <c r="C25" s="25"/>
      <c r="D25" s="42"/>
      <c r="E25" s="25" t="str">
        <f aca="false">IF(D25=0,"",B25-D25)</f>
        <v/>
      </c>
      <c r="F25" s="30" t="str">
        <f aca="false">IF(OR($C$28=0,B25=""),"",B25/$C$28)</f>
        <v/>
      </c>
    </row>
    <row r="26" customFormat="false" ht="15" hidden="false" customHeight="false" outlineLevel="0" collapsed="false">
      <c r="A26" s="41" t="str">
        <f aca="false">IF(Március!A26="","",Március!A26)</f>
        <v/>
      </c>
      <c r="B26" s="42"/>
      <c r="C26" s="25"/>
      <c r="D26" s="42"/>
      <c r="E26" s="25" t="str">
        <f aca="false">IF(D26=0,"",B26-D26)</f>
        <v/>
      </c>
      <c r="F26" s="30" t="str">
        <f aca="false">IF(OR($C$28=0,B26=""),"",B26/$C$28)</f>
        <v/>
      </c>
    </row>
    <row r="27" customFormat="false" ht="15" hidden="false" customHeight="false" outlineLevel="0" collapsed="false">
      <c r="A27" s="41" t="str">
        <f aca="false">IF(Március!A27="","",Március!A27)</f>
        <v/>
      </c>
      <c r="B27" s="42"/>
      <c r="C27" s="25"/>
      <c r="D27" s="42"/>
      <c r="E27" s="25" t="str">
        <f aca="false">IF(D27=0,"",B27-D27)</f>
        <v/>
      </c>
      <c r="F27" s="30" t="str">
        <f aca="false">IF(OR($C$28=0,B27=""),"",B27/$C$28)</f>
        <v/>
      </c>
    </row>
    <row r="28" customFormat="false" ht="15" hidden="false" customHeight="false" outlineLevel="0" collapsed="false">
      <c r="A28" s="31" t="s">
        <v>82</v>
      </c>
      <c r="B28" s="31"/>
      <c r="C28" s="48" t="n">
        <f aca="false">SUM(B18:B27)</f>
        <v>0</v>
      </c>
      <c r="D28" s="48" t="n">
        <f aca="false">SUM(D18:D27)</f>
        <v>0</v>
      </c>
      <c r="E28" s="48" t="str">
        <f aca="false">IF(D28=0,"",C28-D28)</f>
        <v/>
      </c>
      <c r="F28" s="49" t="str">
        <f aca="false">IF($C$16=0,"",C28/$C$16)</f>
        <v/>
      </c>
    </row>
    <row r="29" customFormat="false" ht="18" hidden="false" customHeight="true" outlineLevel="0" collapsed="false">
      <c r="A29" s="33" t="s">
        <v>83</v>
      </c>
      <c r="B29" s="33"/>
      <c r="C29" s="33"/>
      <c r="D29" s="33"/>
      <c r="E29" s="33"/>
      <c r="F29" s="33"/>
    </row>
    <row r="30" customFormat="false" ht="15" hidden="false" customHeight="false" outlineLevel="0" collapsed="false">
      <c r="A30" s="39" t="s">
        <v>43</v>
      </c>
      <c r="B30" s="40"/>
      <c r="C30" s="40"/>
      <c r="D30" s="40"/>
      <c r="E30" s="40"/>
      <c r="F30" s="40"/>
    </row>
    <row r="31" customFormat="false" ht="15" hidden="false" customHeight="false" outlineLevel="0" collapsed="false">
      <c r="A31" s="41" t="str">
        <f aca="false">IF(Március!A31="","",Március!A31)</f>
        <v>Albérleti díj / lakáshitel</v>
      </c>
      <c r="B31" s="42"/>
      <c r="C31" s="25"/>
      <c r="D31" s="42"/>
      <c r="E31" s="25" t="str">
        <f aca="false">IF(D31=0,"",D31-B31)</f>
        <v/>
      </c>
      <c r="F31" s="30" t="str">
        <f aca="false">IF(OR($C$118=0,B31=""),"",B31/$C$118)</f>
        <v/>
      </c>
    </row>
    <row r="32" customFormat="false" ht="15" hidden="false" customHeight="false" outlineLevel="0" collapsed="false">
      <c r="A32" s="41" t="str">
        <f aca="false">IF(Március!A32="","",Március!A32)</f>
        <v>Rezsi (közművek, közös költség)</v>
      </c>
      <c r="B32" s="42"/>
      <c r="C32" s="25"/>
      <c r="D32" s="42"/>
      <c r="E32" s="25" t="str">
        <f aca="false">IF(D32=0,"",D32-B32)</f>
        <v/>
      </c>
      <c r="F32" s="30" t="str">
        <f aca="false">IF(OR($C$118=0,B32=""),"",B32/$C$118)</f>
        <v/>
      </c>
    </row>
    <row r="33" customFormat="false" ht="15" hidden="false" customHeight="false" outlineLevel="0" collapsed="false">
      <c r="A33" s="41" t="str">
        <f aca="false">IF(Március!A33="","",Március!A33)</f>
        <v>Telefon, internet, digitális előfizetések</v>
      </c>
      <c r="B33" s="42"/>
      <c r="C33" s="25"/>
      <c r="D33" s="42"/>
      <c r="E33" s="25" t="str">
        <f aca="false">IF(D33=0,"",D33-B33)</f>
        <v/>
      </c>
      <c r="F33" s="30" t="str">
        <f aca="false">IF(OR($C$118=0,B33=""),"",B33/$C$118)</f>
        <v/>
      </c>
    </row>
    <row r="34" customFormat="false" ht="15" hidden="false" customHeight="false" outlineLevel="0" collapsed="false">
      <c r="A34" s="41" t="str">
        <f aca="false">IF(Március!A34="","",Március!A34)</f>
        <v/>
      </c>
      <c r="B34" s="42"/>
      <c r="C34" s="25"/>
      <c r="D34" s="42"/>
      <c r="E34" s="25" t="str">
        <f aca="false">IF(D34=0,"",D34-B34)</f>
        <v/>
      </c>
      <c r="F34" s="30" t="str">
        <f aca="false">IF(OR($C$118=0,B34=""),"",B34/$C$118)</f>
        <v/>
      </c>
    </row>
    <row r="35" customFormat="false" ht="15" hidden="false" customHeight="false" outlineLevel="0" collapsed="false">
      <c r="A35" s="43" t="s">
        <v>87</v>
      </c>
      <c r="B35" s="35"/>
      <c r="C35" s="44" t="n">
        <f aca="false">SUM(B31:B34)</f>
        <v>0</v>
      </c>
      <c r="D35" s="44" t="n">
        <f aca="false">SUM(D31:D34)</f>
        <v>0</v>
      </c>
      <c r="E35" s="44" t="str">
        <f aca="false">IF(D35=0,"",D35-C35)</f>
        <v/>
      </c>
      <c r="F35" s="45" t="str">
        <f aca="false">IF(OR($C$118=0,C35=""),"",C35/$C$118)</f>
        <v/>
      </c>
    </row>
    <row r="36" customFormat="false" ht="15" hidden="false" customHeight="false" outlineLevel="0" collapsed="false">
      <c r="A36" s="39" t="s">
        <v>44</v>
      </c>
      <c r="B36" s="40"/>
      <c r="C36" s="40"/>
      <c r="D36" s="40"/>
      <c r="E36" s="40"/>
      <c r="F36" s="40"/>
    </row>
    <row r="37" customFormat="false" ht="15" hidden="false" customHeight="false" outlineLevel="0" collapsed="false">
      <c r="A37" s="41" t="str">
        <f aca="false">IF(Március!A37="","",Március!A37)</f>
        <v>Nagybevásárlások</v>
      </c>
      <c r="B37" s="42"/>
      <c r="C37" s="25"/>
      <c r="D37" s="42"/>
      <c r="E37" s="25" t="str">
        <f aca="false">IF(D37=0,"",D37-B37)</f>
        <v/>
      </c>
      <c r="F37" s="30" t="str">
        <f aca="false">IF(OR($C$118=0,B37=""),"",B37/$C$118)</f>
        <v/>
      </c>
    </row>
    <row r="38" customFormat="false" ht="15" hidden="false" customHeight="false" outlineLevel="0" collapsed="false">
      <c r="A38" s="41" t="str">
        <f aca="false">IF(Március!A38="","",Március!A38)</f>
        <v>Drogéria</v>
      </c>
      <c r="B38" s="42"/>
      <c r="C38" s="25"/>
      <c r="D38" s="42"/>
      <c r="E38" s="25" t="str">
        <f aca="false">IF(D38=0,"",D38-B38)</f>
        <v/>
      </c>
      <c r="F38" s="30" t="str">
        <f aca="false">IF(OR($C$118=0,B38=""),"",B38/$C$118)</f>
        <v/>
      </c>
    </row>
    <row r="39" customFormat="false" ht="15" hidden="false" customHeight="false" outlineLevel="0" collapsed="false">
      <c r="A39" s="41" t="str">
        <f aca="false">IF(Március!A39="","",Március!A39)</f>
        <v>Ételrendelés</v>
      </c>
      <c r="B39" s="42"/>
      <c r="C39" s="25"/>
      <c r="D39" s="42"/>
      <c r="E39" s="25" t="str">
        <f aca="false">IF(D39=0,"",D39-B39)</f>
        <v/>
      </c>
      <c r="F39" s="30" t="str">
        <f aca="false">IF(OR($C$118=0,B39=""),"",B39/$C$118)</f>
        <v/>
      </c>
    </row>
    <row r="40" customFormat="false" ht="15" hidden="false" customHeight="false" outlineLevel="0" collapsed="false">
      <c r="A40" s="41" t="str">
        <f aca="false">IF(Március!A40="","",Március!A40)</f>
        <v>Egyéb élelmiszer, bevásárlás</v>
      </c>
      <c r="B40" s="42"/>
      <c r="C40" s="25"/>
      <c r="D40" s="42"/>
      <c r="E40" s="25" t="str">
        <f aca="false">IF(D40=0,"",D40-B40)</f>
        <v/>
      </c>
      <c r="F40" s="30" t="str">
        <f aca="false">IF(OR($C$118=0,B40=""),"",B40/$C$118)</f>
        <v/>
      </c>
    </row>
    <row r="41" customFormat="false" ht="15" hidden="false" customHeight="false" outlineLevel="0" collapsed="false">
      <c r="A41" s="41" t="str">
        <f aca="false">IF(Március!A41="","",Március!A41)</f>
        <v/>
      </c>
      <c r="B41" s="42"/>
      <c r="C41" s="25"/>
      <c r="D41" s="42"/>
      <c r="E41" s="25" t="str">
        <f aca="false">IF(D41=0,"",D41-B41)</f>
        <v/>
      </c>
      <c r="F41" s="30" t="str">
        <f aca="false">IF(OR($C$118=0,B41=""),"",B41/$C$118)</f>
        <v/>
      </c>
    </row>
    <row r="42" customFormat="false" ht="15" hidden="false" customHeight="false" outlineLevel="0" collapsed="false">
      <c r="A42" s="43" t="s">
        <v>92</v>
      </c>
      <c r="B42" s="35"/>
      <c r="C42" s="44" t="n">
        <f aca="false">SUM(B37:B41)</f>
        <v>0</v>
      </c>
      <c r="D42" s="44" t="n">
        <f aca="false">SUM(D37:D41)</f>
        <v>0</v>
      </c>
      <c r="E42" s="44" t="str">
        <f aca="false">IF(D42=0,"",D42-C42)</f>
        <v/>
      </c>
      <c r="F42" s="45" t="str">
        <f aca="false">IF(OR($C$118=0,C42=""),"",C42/$C$118)</f>
        <v/>
      </c>
    </row>
    <row r="43" customFormat="false" ht="15" hidden="false" customHeight="false" outlineLevel="0" collapsed="false">
      <c r="A43" s="39" t="s">
        <v>45</v>
      </c>
      <c r="B43" s="40"/>
      <c r="C43" s="40"/>
      <c r="D43" s="40"/>
      <c r="E43" s="40"/>
      <c r="F43" s="40"/>
    </row>
    <row r="44" customFormat="false" ht="15" hidden="false" customHeight="false" outlineLevel="0" collapsed="false">
      <c r="A44" s="41" t="str">
        <f aca="false">IF(Március!A44="","",Március!A44)</f>
        <v>Lakásbiztosítás</v>
      </c>
      <c r="B44" s="42"/>
      <c r="C44" s="25"/>
      <c r="D44" s="42"/>
      <c r="E44" s="25" t="str">
        <f aca="false">IF(D44=0,"",D44-B44)</f>
        <v/>
      </c>
      <c r="F44" s="30" t="str">
        <f aca="false">IF(OR($C$118=0,B44=""),"",B44/$C$118)</f>
        <v/>
      </c>
    </row>
    <row r="45" customFormat="false" ht="15" hidden="false" customHeight="false" outlineLevel="0" collapsed="false">
      <c r="A45" s="41" t="str">
        <f aca="false">IF(Március!A45="","",Március!A45)</f>
        <v>Életbiztosítás</v>
      </c>
      <c r="B45" s="42"/>
      <c r="C45" s="25"/>
      <c r="D45" s="42"/>
      <c r="E45" s="25" t="str">
        <f aca="false">IF(D45=0,"",D45-B45)</f>
        <v/>
      </c>
      <c r="F45" s="30" t="str">
        <f aca="false">IF(OR($C$118=0,B45=""),"",B45/$C$118)</f>
        <v/>
      </c>
    </row>
    <row r="46" customFormat="false" ht="15" hidden="false" customHeight="false" outlineLevel="0" collapsed="false">
      <c r="A46" s="41" t="str">
        <f aca="false">IF(Március!A46="","",Március!A46)</f>
        <v>Baleset- és betegségbiztosítás</v>
      </c>
      <c r="B46" s="42"/>
      <c r="C46" s="25"/>
      <c r="D46" s="42"/>
      <c r="E46" s="25" t="str">
        <f aca="false">IF(D46=0,"",D46-B46)</f>
        <v/>
      </c>
      <c r="F46" s="30" t="str">
        <f aca="false">IF(OR($C$118=0,B46=""),"",B46/$C$118)</f>
        <v/>
      </c>
    </row>
    <row r="47" customFormat="false" ht="15" hidden="false" customHeight="false" outlineLevel="0" collapsed="false">
      <c r="A47" s="41" t="str">
        <f aca="false">IF(Március!A47="","",Március!A47)</f>
        <v>Egészségbiztosítás</v>
      </c>
      <c r="B47" s="42"/>
      <c r="C47" s="25"/>
      <c r="D47" s="42"/>
      <c r="E47" s="25" t="str">
        <f aca="false">IF(D47=0,"",D47-B47)</f>
        <v/>
      </c>
      <c r="F47" s="30" t="str">
        <f aca="false">IF(OR($C$118=0,B47=""),"",B47/$C$118)</f>
        <v/>
      </c>
    </row>
    <row r="48" customFormat="false" ht="15" hidden="false" customHeight="false" outlineLevel="0" collapsed="false">
      <c r="A48" s="41" t="str">
        <f aca="false">IF(Március!A48="","",Március!A48)</f>
        <v>Hiteltörlesztés</v>
      </c>
      <c r="B48" s="42"/>
      <c r="C48" s="25"/>
      <c r="D48" s="42"/>
      <c r="E48" s="25" t="str">
        <f aca="false">IF(D48=0,"",D48-B48)</f>
        <v/>
      </c>
      <c r="F48" s="30" t="str">
        <f aca="false">IF(OR($C$118=0,B48=""),"",B48/$C$118)</f>
        <v/>
      </c>
    </row>
    <row r="49" customFormat="false" ht="15" hidden="false" customHeight="false" outlineLevel="0" collapsed="false">
      <c r="A49" s="41" t="str">
        <f aca="false">IF(Március!A49="","",Március!A49)</f>
        <v>Egyéb szerződés</v>
      </c>
      <c r="B49" s="42"/>
      <c r="C49" s="25"/>
      <c r="D49" s="42"/>
      <c r="E49" s="25" t="str">
        <f aca="false">IF(D49=0,"",D49-B49)</f>
        <v/>
      </c>
      <c r="F49" s="30" t="str">
        <f aca="false">IF(OR($C$118=0,B49=""),"",B49/$C$118)</f>
        <v/>
      </c>
    </row>
    <row r="50" customFormat="false" ht="15" hidden="false" customHeight="false" outlineLevel="0" collapsed="false">
      <c r="A50" s="41" t="str">
        <f aca="false">IF(Március!A50="","",Március!A50)</f>
        <v/>
      </c>
      <c r="B50" s="42"/>
      <c r="C50" s="25"/>
      <c r="D50" s="42"/>
      <c r="E50" s="25" t="str">
        <f aca="false">IF(D50=0,"",D50-B50)</f>
        <v/>
      </c>
      <c r="F50" s="30" t="str">
        <f aca="false">IF(OR($C$118=0,B50=""),"",B50/$C$118)</f>
        <v/>
      </c>
    </row>
    <row r="51" customFormat="false" ht="15" hidden="false" customHeight="false" outlineLevel="0" collapsed="false">
      <c r="A51" s="41" t="str">
        <f aca="false">IF(Március!A51="","",Március!A51)</f>
        <v/>
      </c>
      <c r="B51" s="42"/>
      <c r="C51" s="25"/>
      <c r="D51" s="42"/>
      <c r="E51" s="25" t="str">
        <f aca="false">IF(D51=0,"",D51-B51)</f>
        <v/>
      </c>
      <c r="F51" s="30" t="str">
        <f aca="false">IF(OR($C$118=0,B51=""),"",B51/$C$118)</f>
        <v/>
      </c>
    </row>
    <row r="52" customFormat="false" ht="15" hidden="false" customHeight="false" outlineLevel="0" collapsed="false">
      <c r="A52" s="43" t="s">
        <v>99</v>
      </c>
      <c r="B52" s="35"/>
      <c r="C52" s="44" t="n">
        <f aca="false">SUM(B44:B51)</f>
        <v>0</v>
      </c>
      <c r="D52" s="44" t="n">
        <f aca="false">SUM(D44:D51)</f>
        <v>0</v>
      </c>
      <c r="E52" s="44" t="str">
        <f aca="false">IF(D52=0,"",D52-C52)</f>
        <v/>
      </c>
      <c r="F52" s="45" t="str">
        <f aca="false">IF(OR($C$118=0,C52=""),"",C52/$C$118)</f>
        <v/>
      </c>
    </row>
    <row r="53" customFormat="false" ht="15" hidden="false" customHeight="false" outlineLevel="0" collapsed="false">
      <c r="A53" s="39" t="s">
        <v>46</v>
      </c>
      <c r="B53" s="40"/>
      <c r="C53" s="40"/>
      <c r="D53" s="40"/>
      <c r="E53" s="40"/>
      <c r="F53" s="40"/>
    </row>
    <row r="54" customFormat="false" ht="15" hidden="false" customHeight="false" outlineLevel="0" collapsed="false">
      <c r="A54" s="41" t="str">
        <f aca="false">IF(Március!A54="","",Március!A54)</f>
        <v>Üzemanyag, elektromos töltés</v>
      </c>
      <c r="B54" s="42"/>
      <c r="C54" s="25"/>
      <c r="D54" s="42"/>
      <c r="E54" s="25" t="str">
        <f aca="false">IF(D54=0,"",D54-B54)</f>
        <v/>
      </c>
      <c r="F54" s="30" t="str">
        <f aca="false">IF(OR($C$118=0,B54=""),"",B54/$C$118)</f>
        <v/>
      </c>
    </row>
    <row r="55" customFormat="false" ht="15" hidden="false" customHeight="false" outlineLevel="0" collapsed="false">
      <c r="A55" s="41" t="str">
        <f aca="false">IF(Március!A55="","",Március!A55)</f>
        <v>Parkolás, útdíj, autópálya-matrica</v>
      </c>
      <c r="B55" s="42"/>
      <c r="C55" s="25"/>
      <c r="D55" s="42"/>
      <c r="E55" s="25" t="str">
        <f aca="false">IF(D55=0,"",D55-B55)</f>
        <v/>
      </c>
      <c r="F55" s="30" t="str">
        <f aca="false">IF(OR($C$118=0,B55=""),"",B55/$C$118)</f>
        <v/>
      </c>
    </row>
    <row r="56" customFormat="false" ht="15" hidden="false" customHeight="false" outlineLevel="0" collapsed="false">
      <c r="A56" s="41" t="str">
        <f aca="false">IF(Március!A56="","",Március!A56)</f>
        <v>Szerviz, karbantartás, gumicsere</v>
      </c>
      <c r="B56" s="42"/>
      <c r="C56" s="25"/>
      <c r="D56" s="42"/>
      <c r="E56" s="25" t="str">
        <f aca="false">IF(D56=0,"",D56-B56)</f>
        <v/>
      </c>
      <c r="F56" s="30" t="str">
        <f aca="false">IF(OR($C$118=0,B56=""),"",B56/$C$118)</f>
        <v/>
      </c>
    </row>
    <row r="57" customFormat="false" ht="15" hidden="false" customHeight="false" outlineLevel="0" collapsed="false">
      <c r="A57" s="41" t="str">
        <f aca="false">IF(Március!A57="","",Március!A57)</f>
        <v>KGFB (kötelező biztosítás)</v>
      </c>
      <c r="B57" s="42"/>
      <c r="C57" s="25"/>
      <c r="D57" s="42"/>
      <c r="E57" s="25" t="str">
        <f aca="false">IF(D57=0,"",D57-B57)</f>
        <v/>
      </c>
      <c r="F57" s="30" t="str">
        <f aca="false">IF(OR($C$118=0,B57=""),"",B57/$C$118)</f>
        <v/>
      </c>
    </row>
    <row r="58" customFormat="false" ht="15" hidden="false" customHeight="false" outlineLevel="0" collapsed="false">
      <c r="A58" s="41" t="str">
        <f aca="false">IF(Március!A58="","",Március!A58)</f>
        <v>CASCO</v>
      </c>
      <c r="B58" s="42"/>
      <c r="C58" s="25"/>
      <c r="D58" s="42"/>
      <c r="E58" s="25" t="str">
        <f aca="false">IF(D58=0,"",D58-B58)</f>
        <v/>
      </c>
      <c r="F58" s="30" t="str">
        <f aca="false">IF(OR($C$118=0,B58=""),"",B58/$C$118)</f>
        <v/>
      </c>
    </row>
    <row r="59" customFormat="false" ht="15" hidden="false" customHeight="false" outlineLevel="0" collapsed="false">
      <c r="A59" s="41" t="str">
        <f aca="false">IF(Március!A59="","",Március!A59)</f>
        <v>Gépjárműadó</v>
      </c>
      <c r="B59" s="42"/>
      <c r="C59" s="25"/>
      <c r="D59" s="42"/>
      <c r="E59" s="25" t="str">
        <f aca="false">IF(D59=0,"",D59-B59)</f>
        <v/>
      </c>
      <c r="F59" s="30" t="str">
        <f aca="false">IF(OR($C$118=0,B59=""),"",B59/$C$118)</f>
        <v/>
      </c>
    </row>
    <row r="60" customFormat="false" ht="15" hidden="false" customHeight="false" outlineLevel="0" collapsed="false">
      <c r="A60" s="41" t="str">
        <f aca="false">IF(Március!A60="","",Március!A60)</f>
        <v>Autóhitel, lízing részlet</v>
      </c>
      <c r="B60" s="42"/>
      <c r="C60" s="25"/>
      <c r="D60" s="42"/>
      <c r="E60" s="25" t="str">
        <f aca="false">IF(D60=0,"",D60-B60)</f>
        <v/>
      </c>
      <c r="F60" s="30" t="str">
        <f aca="false">IF(OR($C$118=0,B60=""),"",B60/$C$118)</f>
        <v/>
      </c>
    </row>
    <row r="61" customFormat="false" ht="15" hidden="false" customHeight="false" outlineLevel="0" collapsed="false">
      <c r="A61" s="41" t="str">
        <f aca="false">IF(Március!A61="","",Március!A61)</f>
        <v>Autómosás, egyéb autós költség</v>
      </c>
      <c r="B61" s="42"/>
      <c r="C61" s="25"/>
      <c r="D61" s="42"/>
      <c r="E61" s="25" t="str">
        <f aca="false">IF(D61=0,"",D61-B61)</f>
        <v/>
      </c>
      <c r="F61" s="30" t="str">
        <f aca="false">IF(OR($C$118=0,B61=""),"",B61/$C$118)</f>
        <v/>
      </c>
    </row>
    <row r="62" customFormat="false" ht="15" hidden="false" customHeight="false" outlineLevel="0" collapsed="false">
      <c r="A62" s="41" t="str">
        <f aca="false">IF(Március!A62="","",Március!A62)</f>
        <v>Tömegközlekedés, bérlet</v>
      </c>
      <c r="B62" s="42"/>
      <c r="C62" s="25"/>
      <c r="D62" s="42"/>
      <c r="E62" s="25" t="str">
        <f aca="false">IF(D62=0,"",D62-B62)</f>
        <v/>
      </c>
      <c r="F62" s="30" t="str">
        <f aca="false">IF(OR($C$118=0,B62=""),"",B62/$C$118)</f>
        <v/>
      </c>
    </row>
    <row r="63" customFormat="false" ht="15" hidden="false" customHeight="false" outlineLevel="0" collapsed="false">
      <c r="A63" s="41" t="str">
        <f aca="false">IF(Március!A63="","",Március!A63)</f>
        <v>Taxi, roller, bicikli, közösségi közlekedés</v>
      </c>
      <c r="B63" s="42"/>
      <c r="C63" s="25"/>
      <c r="D63" s="42"/>
      <c r="E63" s="25" t="str">
        <f aca="false">IF(D63=0,"",D63-B63)</f>
        <v/>
      </c>
      <c r="F63" s="30" t="str">
        <f aca="false">IF(OR($C$118=0,B63=""),"",B63/$C$118)</f>
        <v/>
      </c>
    </row>
    <row r="64" customFormat="false" ht="15" hidden="false" customHeight="false" outlineLevel="0" collapsed="false">
      <c r="A64" s="41" t="str">
        <f aca="false">IF(Március!A64="","",Március!A64)</f>
        <v/>
      </c>
      <c r="B64" s="42"/>
      <c r="C64" s="25"/>
      <c r="D64" s="42"/>
      <c r="E64" s="25" t="str">
        <f aca="false">IF(D64=0,"",D64-B64)</f>
        <v/>
      </c>
      <c r="F64" s="30" t="str">
        <f aca="false">IF(OR($C$118=0,B64=""),"",B64/$C$118)</f>
        <v/>
      </c>
    </row>
    <row r="65" customFormat="false" ht="15" hidden="false" customHeight="false" outlineLevel="0" collapsed="false">
      <c r="A65" s="41" t="str">
        <f aca="false">IF(Március!A65="","",Március!A65)</f>
        <v/>
      </c>
      <c r="B65" s="42"/>
      <c r="C65" s="25"/>
      <c r="D65" s="42"/>
      <c r="E65" s="25" t="str">
        <f aca="false">IF(D65=0,"",D65-B65)</f>
        <v/>
      </c>
      <c r="F65" s="30" t="str">
        <f aca="false">IF(OR($C$118=0,B65=""),"",B65/$C$118)</f>
        <v/>
      </c>
    </row>
    <row r="66" customFormat="false" ht="15" hidden="false" customHeight="false" outlineLevel="0" collapsed="false">
      <c r="A66" s="43" t="s">
        <v>110</v>
      </c>
      <c r="B66" s="35"/>
      <c r="C66" s="44" t="n">
        <f aca="false">SUM(B54:B65)</f>
        <v>0</v>
      </c>
      <c r="D66" s="44" t="n">
        <f aca="false">SUM(D54:D65)</f>
        <v>0</v>
      </c>
      <c r="E66" s="44" t="str">
        <f aca="false">IF(D66=0,"",D66-C66)</f>
        <v/>
      </c>
      <c r="F66" s="45" t="str">
        <f aca="false">IF(OR($C$118=0,C66=""),"",C66/$C$118)</f>
        <v/>
      </c>
    </row>
    <row r="67" customFormat="false" ht="15" hidden="false" customHeight="false" outlineLevel="0" collapsed="false">
      <c r="A67" s="39" t="s">
        <v>47</v>
      </c>
      <c r="B67" s="40"/>
      <c r="C67" s="40"/>
      <c r="D67" s="40"/>
      <c r="E67" s="40"/>
      <c r="F67" s="40"/>
    </row>
    <row r="68" customFormat="false" ht="15" hidden="false" customHeight="false" outlineLevel="0" collapsed="false">
      <c r="A68" s="41" t="str">
        <f aca="false">IF(Március!A68="","",Március!A68)</f>
        <v>Gyerek ruha, cipő</v>
      </c>
      <c r="B68" s="42"/>
      <c r="C68" s="25"/>
      <c r="D68" s="42"/>
      <c r="E68" s="25" t="str">
        <f aca="false">IF(D68=0,"",D68-B68)</f>
        <v/>
      </c>
      <c r="F68" s="30" t="str">
        <f aca="false">IF(OR($C$118=0,B68=""),"",B68/$C$118)</f>
        <v/>
      </c>
    </row>
    <row r="69" customFormat="false" ht="15" hidden="false" customHeight="false" outlineLevel="0" collapsed="false">
      <c r="A69" s="41" t="str">
        <f aca="false">IF(Március!A69="","",Március!A69)</f>
        <v>Gyerek étkeztetés (menza)</v>
      </c>
      <c r="B69" s="42"/>
      <c r="C69" s="25"/>
      <c r="D69" s="42"/>
      <c r="E69" s="25" t="str">
        <f aca="false">IF(D69=0,"",D69-B69)</f>
        <v/>
      </c>
      <c r="F69" s="30" t="str">
        <f aca="false">IF(OR($C$118=0,B69=""),"",B69/$C$118)</f>
        <v/>
      </c>
    </row>
    <row r="70" customFormat="false" ht="15" hidden="false" customHeight="false" outlineLevel="0" collapsed="false">
      <c r="A70" s="41" t="str">
        <f aca="false">IF(Március!A70="","",Március!A70)</f>
        <v>Bölcsőde, óvoda, iskola díjai</v>
      </c>
      <c r="B70" s="42"/>
      <c r="C70" s="25"/>
      <c r="D70" s="42"/>
      <c r="E70" s="25" t="str">
        <f aca="false">IF(D70=0,"",D70-B70)</f>
        <v/>
      </c>
      <c r="F70" s="30" t="str">
        <f aca="false">IF(OR($C$118=0,B70=""),"",B70/$C$118)</f>
        <v/>
      </c>
    </row>
    <row r="71" customFormat="false" ht="15" hidden="false" customHeight="false" outlineLevel="0" collapsed="false">
      <c r="A71" s="41" t="str">
        <f aca="false">IF(Március!A71="","",Március!A71)</f>
        <v>Tankönyv, tanszer</v>
      </c>
      <c r="B71" s="42"/>
      <c r="C71" s="25"/>
      <c r="D71" s="42"/>
      <c r="E71" s="25" t="str">
        <f aca="false">IF(D71=0,"",D71-B71)</f>
        <v/>
      </c>
      <c r="F71" s="30" t="str">
        <f aca="false">IF(OR($C$118=0,B71=""),"",B71/$C$118)</f>
        <v/>
      </c>
    </row>
    <row r="72" customFormat="false" ht="15" hidden="false" customHeight="false" outlineLevel="0" collapsed="false">
      <c r="A72" s="41" t="str">
        <f aca="false">IF(Március!A72="","",Március!A72)</f>
        <v>Különórák, edzések</v>
      </c>
      <c r="B72" s="42"/>
      <c r="C72" s="25"/>
      <c r="D72" s="42"/>
      <c r="E72" s="25" t="str">
        <f aca="false">IF(D72=0,"",D72-B72)</f>
        <v/>
      </c>
      <c r="F72" s="30" t="str">
        <f aca="false">IF(OR($C$118=0,B72=""),"",B72/$C$118)</f>
        <v/>
      </c>
    </row>
    <row r="73" customFormat="false" ht="15" hidden="false" customHeight="false" outlineLevel="0" collapsed="false">
      <c r="A73" s="41" t="str">
        <f aca="false">IF(Március!A73="","",Március!A73)</f>
        <v>Magánóra, korrepetálás</v>
      </c>
      <c r="B73" s="42"/>
      <c r="C73" s="25"/>
      <c r="D73" s="42"/>
      <c r="E73" s="25" t="str">
        <f aca="false">IF(D73=0,"",D73-B73)</f>
        <v/>
      </c>
      <c r="F73" s="30" t="str">
        <f aca="false">IF(OR($C$118=0,B73=""),"",B73/$C$118)</f>
        <v/>
      </c>
    </row>
    <row r="74" customFormat="false" ht="15" hidden="false" customHeight="false" outlineLevel="0" collapsed="false">
      <c r="A74" s="41" t="str">
        <f aca="false">IF(Március!A74="","",Március!A74)</f>
        <v>Zsebpénz</v>
      </c>
      <c r="B74" s="42"/>
      <c r="C74" s="25"/>
      <c r="D74" s="42"/>
      <c r="E74" s="25" t="str">
        <f aca="false">IF(D74=0,"",D74-B74)</f>
        <v/>
      </c>
      <c r="F74" s="30" t="str">
        <f aca="false">IF(OR($C$118=0,B74=""),"",B74/$C$118)</f>
        <v/>
      </c>
    </row>
    <row r="75" customFormat="false" ht="15" hidden="false" customHeight="false" outlineLevel="0" collapsed="false">
      <c r="A75" s="41" t="str">
        <f aca="false">IF(Március!A75="","",Március!A75)</f>
        <v>Játékok, szórakozás</v>
      </c>
      <c r="B75" s="42"/>
      <c r="C75" s="25"/>
      <c r="D75" s="42"/>
      <c r="E75" s="25" t="str">
        <f aca="false">IF(D75=0,"",D75-B75)</f>
        <v/>
      </c>
      <c r="F75" s="30" t="str">
        <f aca="false">IF(OR($C$118=0,B75=""),"",B75/$C$118)</f>
        <v/>
      </c>
    </row>
    <row r="76" customFormat="false" ht="15" hidden="false" customHeight="false" outlineLevel="0" collapsed="false">
      <c r="A76" s="41" t="str">
        <f aca="false">IF(Március!A76="","",Március!A76)</f>
        <v/>
      </c>
      <c r="B76" s="42"/>
      <c r="C76" s="25"/>
      <c r="D76" s="42"/>
      <c r="E76" s="25" t="str">
        <f aca="false">IF(D76=0,"",D76-B76)</f>
        <v/>
      </c>
      <c r="F76" s="30" t="str">
        <f aca="false">IF(OR($C$118=0,B76=""),"",B76/$C$118)</f>
        <v/>
      </c>
    </row>
    <row r="77" customFormat="false" ht="15" hidden="false" customHeight="false" outlineLevel="0" collapsed="false">
      <c r="A77" s="41" t="str">
        <f aca="false">IF(Március!A77="","",Március!A77)</f>
        <v/>
      </c>
      <c r="B77" s="42"/>
      <c r="C77" s="25"/>
      <c r="D77" s="42"/>
      <c r="E77" s="25" t="str">
        <f aca="false">IF(D77=0,"",D77-B77)</f>
        <v/>
      </c>
      <c r="F77" s="30" t="str">
        <f aca="false">IF(OR($C$118=0,B77=""),"",B77/$C$118)</f>
        <v/>
      </c>
    </row>
    <row r="78" customFormat="false" ht="15" hidden="false" customHeight="false" outlineLevel="0" collapsed="false">
      <c r="A78" s="41" t="str">
        <f aca="false">IF(Március!A78="","",Március!A78)</f>
        <v/>
      </c>
      <c r="B78" s="42"/>
      <c r="C78" s="25"/>
      <c r="D78" s="42"/>
      <c r="E78" s="25" t="str">
        <f aca="false">IF(D78=0,"",D78-B78)</f>
        <v/>
      </c>
      <c r="F78" s="30" t="str">
        <f aca="false">IF(OR($C$118=0,B78=""),"",B78/$C$118)</f>
        <v/>
      </c>
    </row>
    <row r="79" customFormat="false" ht="15" hidden="false" customHeight="false" outlineLevel="0" collapsed="false">
      <c r="A79" s="43" t="s">
        <v>119</v>
      </c>
      <c r="B79" s="35"/>
      <c r="C79" s="44" t="n">
        <f aca="false">SUM(B68:B78)</f>
        <v>0</v>
      </c>
      <c r="D79" s="44" t="n">
        <f aca="false">SUM(D68:D78)</f>
        <v>0</v>
      </c>
      <c r="E79" s="44" t="str">
        <f aca="false">IF(D79=0,"",D79-C79)</f>
        <v/>
      </c>
      <c r="F79" s="45" t="str">
        <f aca="false">IF(OR($C$118=0,C79=""),"",C79/$C$118)</f>
        <v/>
      </c>
    </row>
    <row r="80" customFormat="false" ht="15" hidden="false" customHeight="false" outlineLevel="0" collapsed="false">
      <c r="A80" s="39" t="s">
        <v>48</v>
      </c>
      <c r="B80" s="40"/>
      <c r="C80" s="40"/>
      <c r="D80" s="40"/>
      <c r="E80" s="40"/>
      <c r="F80" s="40"/>
    </row>
    <row r="81" customFormat="false" ht="15" hidden="false" customHeight="false" outlineLevel="0" collapsed="false">
      <c r="A81" s="41" t="str">
        <f aca="false">IF(Március!A81="","",Március!A81)</f>
        <v>Ruha</v>
      </c>
      <c r="B81" s="42"/>
      <c r="C81" s="25"/>
      <c r="D81" s="42"/>
      <c r="E81" s="25" t="str">
        <f aca="false">IF(D81=0,"",D81-B81)</f>
        <v/>
      </c>
      <c r="F81" s="30" t="str">
        <f aca="false">IF(OR($C$118=0,B81=""),"",B81/$C$118)</f>
        <v/>
      </c>
    </row>
    <row r="82" customFormat="false" ht="15" hidden="false" customHeight="false" outlineLevel="0" collapsed="false">
      <c r="A82" s="41" t="str">
        <f aca="false">IF(Március!A82="","",Március!A82)</f>
        <v>Cipő</v>
      </c>
      <c r="B82" s="42"/>
      <c r="C82" s="25"/>
      <c r="D82" s="42"/>
      <c r="E82" s="25" t="str">
        <f aca="false">IF(D82=0,"",D82-B82)</f>
        <v/>
      </c>
      <c r="F82" s="30" t="str">
        <f aca="false">IF(OR($C$118=0,B82=""),"",B82/$C$118)</f>
        <v/>
      </c>
    </row>
    <row r="83" customFormat="false" ht="15" hidden="false" customHeight="false" outlineLevel="0" collapsed="false">
      <c r="A83" s="41" t="str">
        <f aca="false">IF(Március!A83="","",Március!A83)</f>
        <v>Kiegészítők (táska, ékszer, óra)</v>
      </c>
      <c r="B83" s="42"/>
      <c r="C83" s="25"/>
      <c r="D83" s="42"/>
      <c r="E83" s="25" t="str">
        <f aca="false">IF(D83=0,"",D83-B83)</f>
        <v/>
      </c>
      <c r="F83" s="30" t="str">
        <f aca="false">IF(OR($C$118=0,B83=""),"",B83/$C$118)</f>
        <v/>
      </c>
    </row>
    <row r="84" customFormat="false" ht="15" hidden="false" customHeight="false" outlineLevel="0" collapsed="false">
      <c r="A84" s="41" t="str">
        <f aca="false">IF(Március!A84="","",Március!A84)</f>
        <v/>
      </c>
      <c r="B84" s="42"/>
      <c r="C84" s="25"/>
      <c r="D84" s="42"/>
      <c r="E84" s="25" t="str">
        <f aca="false">IF(D84=0,"",D84-B84)</f>
        <v/>
      </c>
      <c r="F84" s="30" t="str">
        <f aca="false">IF(OR($C$118=0,B84=""),"",B84/$C$118)</f>
        <v/>
      </c>
    </row>
    <row r="85" customFormat="false" ht="15" hidden="false" customHeight="false" outlineLevel="0" collapsed="false">
      <c r="A85" s="43" t="s">
        <v>123</v>
      </c>
      <c r="B85" s="35"/>
      <c r="C85" s="44" t="n">
        <f aca="false">SUM(B81:B84)</f>
        <v>0</v>
      </c>
      <c r="D85" s="44" t="n">
        <f aca="false">SUM(D81:D84)</f>
        <v>0</v>
      </c>
      <c r="E85" s="44" t="str">
        <f aca="false">IF(D85=0,"",D85-C85)</f>
        <v/>
      </c>
      <c r="F85" s="45" t="str">
        <f aca="false">IF(OR($C$118=0,C85=""),"",C85/$C$118)</f>
        <v/>
      </c>
    </row>
    <row r="86" customFormat="false" ht="15" hidden="false" customHeight="false" outlineLevel="0" collapsed="false">
      <c r="A86" s="39" t="s">
        <v>49</v>
      </c>
      <c r="B86" s="40"/>
      <c r="C86" s="40"/>
      <c r="D86" s="40"/>
      <c r="E86" s="40"/>
      <c r="F86" s="40"/>
    </row>
    <row r="87" customFormat="false" ht="15" hidden="false" customHeight="false" outlineLevel="0" collapsed="false">
      <c r="A87" s="41" t="str">
        <f aca="false">IF(Március!A87="","",Március!A87)</f>
        <v>Fodrász, borbély</v>
      </c>
      <c r="B87" s="42"/>
      <c r="C87" s="25"/>
      <c r="D87" s="42"/>
      <c r="E87" s="25" t="str">
        <f aca="false">IF(D87=0,"",D87-B87)</f>
        <v/>
      </c>
      <c r="F87" s="30" t="str">
        <f aca="false">IF(OR($C$118=0,B87=""),"",B87/$C$118)</f>
        <v/>
      </c>
    </row>
    <row r="88" customFormat="false" ht="15" hidden="false" customHeight="false" outlineLevel="0" collapsed="false">
      <c r="A88" s="41" t="str">
        <f aca="false">IF(Március!A88="","",Március!A88)</f>
        <v>Kozmetikus, manikűr, pedikűr</v>
      </c>
      <c r="B88" s="42"/>
      <c r="C88" s="25"/>
      <c r="D88" s="42"/>
      <c r="E88" s="25" t="str">
        <f aca="false">IF(D88=0,"",D88-B88)</f>
        <v/>
      </c>
      <c r="F88" s="30" t="str">
        <f aca="false">IF(OR($C$118=0,B88=""),"",B88/$C$118)</f>
        <v/>
      </c>
    </row>
    <row r="89" customFormat="false" ht="15" hidden="false" customHeight="false" outlineLevel="0" collapsed="false">
      <c r="A89" s="41" t="str">
        <f aca="false">IF(Március!A89="","",Március!A89)</f>
        <v>Kozmetikumok, parfüm</v>
      </c>
      <c r="B89" s="42"/>
      <c r="C89" s="25"/>
      <c r="D89" s="42"/>
      <c r="E89" s="25" t="str">
        <f aca="false">IF(D89=0,"",D89-B89)</f>
        <v/>
      </c>
      <c r="F89" s="30" t="str">
        <f aca="false">IF(OR($C$118=0,B89=""),"",B89/$C$118)</f>
        <v/>
      </c>
    </row>
    <row r="90" customFormat="false" ht="15" hidden="false" customHeight="false" outlineLevel="0" collapsed="false">
      <c r="A90" s="41" t="str">
        <f aca="false">IF(Március!A90="","",Március!A90)</f>
        <v>Edzés, sport, bérlet</v>
      </c>
      <c r="B90" s="42"/>
      <c r="C90" s="25"/>
      <c r="D90" s="42"/>
      <c r="E90" s="25" t="str">
        <f aca="false">IF(D90=0,"",D90-B90)</f>
        <v/>
      </c>
      <c r="F90" s="30" t="str">
        <f aca="false">IF(OR($C$118=0,B90=""),"",B90/$C$118)</f>
        <v/>
      </c>
    </row>
    <row r="91" customFormat="false" ht="15" hidden="false" customHeight="false" outlineLevel="0" collapsed="false">
      <c r="A91" s="41" t="str">
        <f aca="false">IF(Március!A91="","",Március!A91)</f>
        <v>Gyógyszer, vitamin</v>
      </c>
      <c r="B91" s="42"/>
      <c r="C91" s="25"/>
      <c r="D91" s="42"/>
      <c r="E91" s="25" t="str">
        <f aca="false">IF(D91=0,"",D91-B91)</f>
        <v/>
      </c>
      <c r="F91" s="30" t="str">
        <f aca="false">IF(OR($C$118=0,B91=""),"",B91/$C$118)</f>
        <v/>
      </c>
    </row>
    <row r="92" customFormat="false" ht="15" hidden="false" customHeight="false" outlineLevel="0" collapsed="false">
      <c r="A92" s="41" t="str">
        <f aca="false">IF(Március!A92="","",Március!A92)</f>
        <v>Orvos, fogorvos, magánrendelés</v>
      </c>
      <c r="B92" s="42"/>
      <c r="C92" s="25"/>
      <c r="D92" s="42"/>
      <c r="E92" s="25" t="str">
        <f aca="false">IF(D92=0,"",D92-B92)</f>
        <v/>
      </c>
      <c r="F92" s="30" t="str">
        <f aca="false">IF(OR($C$118=0,B92=""),"",B92/$C$118)</f>
        <v/>
      </c>
    </row>
    <row r="93" customFormat="false" ht="15" hidden="false" customHeight="false" outlineLevel="0" collapsed="false">
      <c r="A93" s="41" t="str">
        <f aca="false">IF(Március!A93="","",Március!A93)</f>
        <v/>
      </c>
      <c r="B93" s="42"/>
      <c r="C93" s="25"/>
      <c r="D93" s="42"/>
      <c r="E93" s="25" t="str">
        <f aca="false">IF(D93=0,"",D93-B93)</f>
        <v/>
      </c>
      <c r="F93" s="30" t="str">
        <f aca="false">IF(OR($C$118=0,B93=""),"",B93/$C$118)</f>
        <v/>
      </c>
    </row>
    <row r="94" customFormat="false" ht="15" hidden="false" customHeight="false" outlineLevel="0" collapsed="false">
      <c r="A94" s="43" t="s">
        <v>130</v>
      </c>
      <c r="B94" s="35"/>
      <c r="C94" s="44" t="n">
        <f aca="false">SUM(B87:B93)</f>
        <v>0</v>
      </c>
      <c r="D94" s="44" t="n">
        <f aca="false">SUM(D87:D93)</f>
        <v>0</v>
      </c>
      <c r="E94" s="44" t="str">
        <f aca="false">IF(D94=0,"",D94-C94)</f>
        <v/>
      </c>
      <c r="F94" s="45" t="str">
        <f aca="false">IF(OR($C$118=0,C94=""),"",C94/$C$118)</f>
        <v/>
      </c>
    </row>
    <row r="95" customFormat="false" ht="15" hidden="false" customHeight="false" outlineLevel="0" collapsed="false">
      <c r="A95" s="39" t="s">
        <v>50</v>
      </c>
      <c r="B95" s="40"/>
      <c r="C95" s="40"/>
      <c r="D95" s="40"/>
      <c r="E95" s="40"/>
      <c r="F95" s="40"/>
    </row>
    <row r="96" customFormat="false" ht="15" hidden="false" customHeight="false" outlineLevel="0" collapsed="false">
      <c r="A96" s="41" t="str">
        <f aca="false">IF(Március!A96="","",Március!A96)</f>
        <v>Cigaretta, dohány</v>
      </c>
      <c r="B96" s="42"/>
      <c r="C96" s="25"/>
      <c r="D96" s="42"/>
      <c r="E96" s="25" t="str">
        <f aca="false">IF(D96=0,"",D96-B96)</f>
        <v/>
      </c>
      <c r="F96" s="30" t="str">
        <f aca="false">IF(OR($C$118=0,B96=""),"",B96/$C$118)</f>
        <v/>
      </c>
    </row>
    <row r="97" customFormat="false" ht="15" hidden="false" customHeight="false" outlineLevel="0" collapsed="false">
      <c r="A97" s="41" t="str">
        <f aca="false">IF(Március!A97="","",Március!A97)</f>
        <v>E-cigaretta, hevített dohánytermék</v>
      </c>
      <c r="B97" s="42"/>
      <c r="C97" s="25"/>
      <c r="D97" s="42"/>
      <c r="E97" s="25" t="str">
        <f aca="false">IF(D97=0,"",D97-B97)</f>
        <v/>
      </c>
      <c r="F97" s="30" t="str">
        <f aca="false">IF(OR($C$118=0,B97=""),"",B97/$C$118)</f>
        <v/>
      </c>
    </row>
    <row r="98" customFormat="false" ht="15" hidden="false" customHeight="false" outlineLevel="0" collapsed="false">
      <c r="A98" s="41" t="str">
        <f aca="false">IF(Március!A98="","",Március!A98)</f>
        <v/>
      </c>
      <c r="B98" s="42"/>
      <c r="C98" s="25"/>
      <c r="D98" s="42"/>
      <c r="E98" s="25" t="str">
        <f aca="false">IF(D98=0,"",D98-B98)</f>
        <v/>
      </c>
      <c r="F98" s="30" t="str">
        <f aca="false">IF(OR($C$118=0,B98=""),"",B98/$C$118)</f>
        <v/>
      </c>
    </row>
    <row r="99" customFormat="false" ht="15" hidden="false" customHeight="false" outlineLevel="0" collapsed="false">
      <c r="A99" s="43" t="s">
        <v>133</v>
      </c>
      <c r="B99" s="35"/>
      <c r="C99" s="44" t="n">
        <f aca="false">SUM(B96:B98)</f>
        <v>0</v>
      </c>
      <c r="D99" s="44" t="n">
        <f aca="false">SUM(D96:D98)</f>
        <v>0</v>
      </c>
      <c r="E99" s="44" t="str">
        <f aca="false">IF(D99=0,"",D99-C99)</f>
        <v/>
      </c>
      <c r="F99" s="45" t="str">
        <f aca="false">IF(OR($C$118=0,C99=""),"",C99/$C$118)</f>
        <v/>
      </c>
    </row>
    <row r="100" customFormat="false" ht="15" hidden="false" customHeight="false" outlineLevel="0" collapsed="false">
      <c r="A100" s="39" t="s">
        <v>51</v>
      </c>
      <c r="B100" s="40"/>
      <c r="C100" s="40"/>
      <c r="D100" s="40"/>
      <c r="E100" s="40"/>
      <c r="F100" s="40"/>
    </row>
    <row r="101" customFormat="false" ht="15" hidden="false" customHeight="false" outlineLevel="0" collapsed="false">
      <c r="A101" s="41" t="str">
        <f aca="false">IF(Március!A101="","",Március!A101)</f>
        <v>Állateledel, jutalomfalat</v>
      </c>
      <c r="B101" s="42"/>
      <c r="C101" s="25"/>
      <c r="D101" s="42"/>
      <c r="E101" s="25" t="str">
        <f aca="false">IF(D101=0,"",D101-B101)</f>
        <v/>
      </c>
      <c r="F101" s="30" t="str">
        <f aca="false">IF(OR($C$118=0,B101=""),"",B101/$C$118)</f>
        <v/>
      </c>
    </row>
    <row r="102" customFormat="false" ht="15" hidden="false" customHeight="false" outlineLevel="0" collapsed="false">
      <c r="A102" s="41" t="str">
        <f aca="false">IF(Március!A102="","",Március!A102)</f>
        <v>Állatorvos, oltások, gyógyszer</v>
      </c>
      <c r="B102" s="42"/>
      <c r="C102" s="25"/>
      <c r="D102" s="42"/>
      <c r="E102" s="25" t="str">
        <f aca="false">IF(D102=0,"",D102-B102)</f>
        <v/>
      </c>
      <c r="F102" s="30" t="str">
        <f aca="false">IF(OR($C$118=0,B102=""),"",B102/$C$118)</f>
        <v/>
      </c>
    </row>
    <row r="103" customFormat="false" ht="15" hidden="false" customHeight="false" outlineLevel="0" collapsed="false">
      <c r="A103" s="41" t="str">
        <f aca="false">IF(Március!A103="","",Március!A103)</f>
        <v>Felszerelés, alom, játékok</v>
      </c>
      <c r="B103" s="42"/>
      <c r="C103" s="25"/>
      <c r="D103" s="42"/>
      <c r="E103" s="25" t="str">
        <f aca="false">IF(D103=0,"",D103-B103)</f>
        <v/>
      </c>
      <c r="F103" s="30" t="str">
        <f aca="false">IF(OR($C$118=0,B103=""),"",B103/$C$118)</f>
        <v/>
      </c>
    </row>
    <row r="104" customFormat="false" ht="15" hidden="false" customHeight="false" outlineLevel="0" collapsed="false">
      <c r="A104" s="41" t="str">
        <f aca="false">IF(Március!A104="","",Március!A104)</f>
        <v>Kisállat-kozmetika, panzió, kutyaiskola</v>
      </c>
      <c r="B104" s="42"/>
      <c r="C104" s="25"/>
      <c r="D104" s="42"/>
      <c r="E104" s="25" t="str">
        <f aca="false">IF(D104=0,"",D104-B104)</f>
        <v/>
      </c>
      <c r="F104" s="30" t="str">
        <f aca="false">IF(OR($C$118=0,B104=""),"",B104/$C$118)</f>
        <v/>
      </c>
    </row>
    <row r="105" customFormat="false" ht="15" hidden="false" customHeight="false" outlineLevel="0" collapsed="false">
      <c r="A105" s="41" t="str">
        <f aca="false">IF(Március!A105="","",Március!A105)</f>
        <v/>
      </c>
      <c r="B105" s="42"/>
      <c r="C105" s="25"/>
      <c r="D105" s="42"/>
      <c r="E105" s="25" t="str">
        <f aca="false">IF(D105=0,"",D105-B105)</f>
        <v/>
      </c>
      <c r="F105" s="30" t="str">
        <f aca="false">IF(OR($C$118=0,B105=""),"",B105/$C$118)</f>
        <v/>
      </c>
    </row>
    <row r="106" customFormat="false" ht="15" hidden="false" customHeight="false" outlineLevel="0" collapsed="false">
      <c r="A106" s="43" t="s">
        <v>138</v>
      </c>
      <c r="B106" s="35"/>
      <c r="C106" s="44" t="n">
        <f aca="false">SUM(B101:B105)</f>
        <v>0</v>
      </c>
      <c r="D106" s="44" t="n">
        <f aca="false">SUM(D101:D105)</f>
        <v>0</v>
      </c>
      <c r="E106" s="44" t="str">
        <f aca="false">IF(D106=0,"",D106-C106)</f>
        <v/>
      </c>
      <c r="F106" s="45" t="str">
        <f aca="false">IF(OR($C$118=0,C106=""),"",C106/$C$118)</f>
        <v/>
      </c>
    </row>
    <row r="107" customFormat="false" ht="15" hidden="false" customHeight="false" outlineLevel="0" collapsed="false">
      <c r="A107" s="39" t="s">
        <v>52</v>
      </c>
      <c r="B107" s="40"/>
      <c r="C107" s="40"/>
      <c r="D107" s="40"/>
      <c r="E107" s="40"/>
      <c r="F107" s="40"/>
    </row>
    <row r="108" customFormat="false" ht="15" hidden="false" customHeight="false" outlineLevel="0" collapsed="false">
      <c r="A108" s="41" t="str">
        <f aca="false">IF(Március!A108="","",Március!A108)</f>
        <v>Hobbi</v>
      </c>
      <c r="B108" s="42"/>
      <c r="C108" s="25"/>
      <c r="D108" s="42"/>
      <c r="E108" s="25" t="str">
        <f aca="false">IF(D108=0,"",D108-B108)</f>
        <v/>
      </c>
      <c r="F108" s="30" t="str">
        <f aca="false">IF(OR($C$118=0,B108=""),"",B108/$C$118)</f>
        <v/>
      </c>
    </row>
    <row r="109" customFormat="false" ht="15" hidden="false" customHeight="false" outlineLevel="0" collapsed="false">
      <c r="A109" s="41" t="str">
        <f aca="false">IF(Március!A109="","",Március!A109)</f>
        <v>Szórakozás (mozi, színház, koncert, étterem)</v>
      </c>
      <c r="B109" s="42"/>
      <c r="C109" s="25"/>
      <c r="D109" s="42"/>
      <c r="E109" s="25" t="str">
        <f aca="false">IF(D109=0,"",D109-B109)</f>
        <v/>
      </c>
      <c r="F109" s="30" t="str">
        <f aca="false">IF(OR($C$118=0,B109=""),"",B109/$C$118)</f>
        <v/>
      </c>
    </row>
    <row r="110" customFormat="false" ht="15" hidden="false" customHeight="false" outlineLevel="0" collapsed="false">
      <c r="A110" s="41" t="str">
        <f aca="false">IF(Március!A110="","",Március!A110)</f>
        <v>Nyaralás, utazás</v>
      </c>
      <c r="B110" s="42"/>
      <c r="C110" s="25"/>
      <c r="D110" s="42"/>
      <c r="E110" s="25" t="str">
        <f aca="false">IF(D110=0,"",D110-B110)</f>
        <v/>
      </c>
      <c r="F110" s="30" t="str">
        <f aca="false">IF(OR($C$118=0,B110=""),"",B110/$C$118)</f>
        <v/>
      </c>
    </row>
    <row r="111" customFormat="false" ht="15" hidden="false" customHeight="false" outlineLevel="0" collapsed="false">
      <c r="A111" s="41" t="str">
        <f aca="false">IF(Március!A111="","",Március!A111)</f>
        <v/>
      </c>
      <c r="B111" s="42"/>
      <c r="C111" s="25"/>
      <c r="D111" s="42"/>
      <c r="E111" s="25" t="str">
        <f aca="false">IF(D111=0,"",D111-B111)</f>
        <v/>
      </c>
      <c r="F111" s="30" t="str">
        <f aca="false">IF(OR($C$118=0,B111=""),"",B111/$C$118)</f>
        <v/>
      </c>
    </row>
    <row r="112" customFormat="false" ht="15" hidden="false" customHeight="false" outlineLevel="0" collapsed="false">
      <c r="A112" s="43" t="s">
        <v>142</v>
      </c>
      <c r="B112" s="35"/>
      <c r="C112" s="44" t="n">
        <f aca="false">SUM(B108:B111)</f>
        <v>0</v>
      </c>
      <c r="D112" s="44" t="n">
        <f aca="false">SUM(D108:D111)</f>
        <v>0</v>
      </c>
      <c r="E112" s="44" t="str">
        <f aca="false">IF(D112=0,"",D112-C112)</f>
        <v/>
      </c>
      <c r="F112" s="45" t="str">
        <f aca="false">IF(OR($C$118=0,C112=""),"",C112/$C$118)</f>
        <v/>
      </c>
    </row>
    <row r="113" customFormat="false" ht="15" hidden="false" customHeight="false" outlineLevel="0" collapsed="false">
      <c r="A113" s="39" t="s">
        <v>53</v>
      </c>
      <c r="B113" s="40"/>
      <c r="C113" s="40"/>
      <c r="D113" s="40"/>
      <c r="E113" s="40"/>
      <c r="F113" s="40"/>
    </row>
    <row r="114" customFormat="false" ht="15" hidden="false" customHeight="false" outlineLevel="0" collapsed="false">
      <c r="A114" s="41" t="str">
        <f aca="false">IF(Március!A114="","",Március!A114)</f>
        <v>Ünnepek, ajándékok</v>
      </c>
      <c r="B114" s="42"/>
      <c r="C114" s="25"/>
      <c r="D114" s="42"/>
      <c r="E114" s="25" t="str">
        <f aca="false">IF(D114=0,"",D114-B114)</f>
        <v/>
      </c>
      <c r="F114" s="30" t="str">
        <f aca="false">IF(OR($C$118=0,B114=""),"",B114/$C$118)</f>
        <v/>
      </c>
    </row>
    <row r="115" customFormat="false" ht="15" hidden="false" customHeight="false" outlineLevel="0" collapsed="false">
      <c r="A115" s="41" t="str">
        <f aca="false">IF(Március!A115="","",Március!A115)</f>
        <v>Egyéb kiadás</v>
      </c>
      <c r="B115" s="42"/>
      <c r="C115" s="25"/>
      <c r="D115" s="42"/>
      <c r="E115" s="25" t="str">
        <f aca="false">IF(D115=0,"",D115-B115)</f>
        <v/>
      </c>
      <c r="F115" s="30" t="str">
        <f aca="false">IF(OR($C$118=0,B115=""),"",B115/$C$118)</f>
        <v/>
      </c>
    </row>
    <row r="116" customFormat="false" ht="15" hidden="false" customHeight="false" outlineLevel="0" collapsed="false">
      <c r="A116" s="41" t="str">
        <f aca="false">IF(Március!A116="","",Március!A116)</f>
        <v/>
      </c>
      <c r="B116" s="42"/>
      <c r="C116" s="25"/>
      <c r="D116" s="42"/>
      <c r="E116" s="25" t="str">
        <f aca="false">IF(D116=0,"",D116-B116)</f>
        <v/>
      </c>
      <c r="F116" s="30" t="str">
        <f aca="false">IF(OR($C$118=0,B116=""),"",B116/$C$118)</f>
        <v/>
      </c>
    </row>
    <row r="117" customFormat="false" ht="15" hidden="false" customHeight="false" outlineLevel="0" collapsed="false">
      <c r="A117" s="43" t="s">
        <v>145</v>
      </c>
      <c r="B117" s="35"/>
      <c r="C117" s="44" t="n">
        <f aca="false">SUM(B114:B116)</f>
        <v>0</v>
      </c>
      <c r="D117" s="44" t="n">
        <f aca="false">SUM(D114:D116)</f>
        <v>0</v>
      </c>
      <c r="E117" s="44" t="str">
        <f aca="false">IF(D117=0,"",D117-C117)</f>
        <v/>
      </c>
      <c r="F117" s="45" t="str">
        <f aca="false">IF(OR($C$118=0,C117=""),"",C117/$C$118)</f>
        <v/>
      </c>
    </row>
    <row r="118" customFormat="false" ht="15" hidden="false" customHeight="false" outlineLevel="0" collapsed="false">
      <c r="A118" s="33" t="s">
        <v>146</v>
      </c>
      <c r="B118" s="33"/>
      <c r="C118" s="50" t="n">
        <f aca="false">C35+C42+C52+C66+C79+C85+C94+C99+C106+C112+C117</f>
        <v>0</v>
      </c>
      <c r="D118" s="50" t="n">
        <f aca="false">D35+D42+D52+D66+D79+D85+D94+D99+D106+D112+D117</f>
        <v>0</v>
      </c>
      <c r="E118" s="50" t="str">
        <f aca="false">IF(D118=0,"",D118-C118)</f>
        <v/>
      </c>
      <c r="F118" s="51" t="str">
        <f aca="false">IF($C$16=0,"",C118/$C$16)</f>
        <v/>
      </c>
    </row>
    <row r="119" customFormat="false" ht="15" hidden="false" customHeight="false" outlineLevel="0" collapsed="false">
      <c r="A119" s="8" t="s">
        <v>147</v>
      </c>
      <c r="B119" s="8"/>
      <c r="C119" s="8" t="s">
        <v>148</v>
      </c>
      <c r="D119" s="8" t="s">
        <v>149</v>
      </c>
      <c r="E119" s="8"/>
      <c r="F119" s="8" t="s">
        <v>150</v>
      </c>
    </row>
    <row r="120" customFormat="false" ht="15" hidden="false" customHeight="false" outlineLevel="0" collapsed="false">
      <c r="A120" s="13" t="s">
        <v>151</v>
      </c>
      <c r="B120" s="52"/>
      <c r="C120" s="53" t="n">
        <f aca="false">C16</f>
        <v>0</v>
      </c>
      <c r="D120" s="53" t="n">
        <f aca="false">D16</f>
        <v>0</v>
      </c>
      <c r="E120" s="52"/>
      <c r="F120" s="54" t="str">
        <f aca="false">IF($C$120=0,"",C120/$C$120)</f>
        <v/>
      </c>
    </row>
    <row r="121" customFormat="false" ht="15" hidden="false" customHeight="false" outlineLevel="0" collapsed="false">
      <c r="A121" s="17" t="s">
        <v>152</v>
      </c>
      <c r="B121" s="52"/>
      <c r="C121" s="53" t="n">
        <f aca="false">C28</f>
        <v>0</v>
      </c>
      <c r="D121" s="53" t="n">
        <f aca="false">D28</f>
        <v>0</v>
      </c>
      <c r="E121" s="52"/>
      <c r="F121" s="54" t="str">
        <f aca="false">IF($C$120=0,"",C121/$C$120)</f>
        <v/>
      </c>
    </row>
    <row r="122" customFormat="false" ht="15" hidden="false" customHeight="false" outlineLevel="0" collapsed="false">
      <c r="A122" s="18" t="s">
        <v>153</v>
      </c>
      <c r="B122" s="52"/>
      <c r="C122" s="53" t="n">
        <f aca="false">C118</f>
        <v>0</v>
      </c>
      <c r="D122" s="53" t="n">
        <f aca="false">D118</f>
        <v>0</v>
      </c>
      <c r="E122" s="52"/>
      <c r="F122" s="54" t="str">
        <f aca="false">IF($C$120=0,"",C122/$C$120)</f>
        <v/>
      </c>
    </row>
    <row r="123" customFormat="false" ht="15" hidden="false" customHeight="false" outlineLevel="0" collapsed="false">
      <c r="A123" s="33" t="s">
        <v>154</v>
      </c>
      <c r="B123" s="33"/>
      <c r="C123" s="50" t="n">
        <f aca="false">C121+C122</f>
        <v>0</v>
      </c>
      <c r="D123" s="50" t="n">
        <f aca="false">D121+D122</f>
        <v>0</v>
      </c>
      <c r="E123" s="33"/>
      <c r="F123" s="51" t="str">
        <f aca="false">IF($C$120=0,"",C123/$C$120)</f>
        <v/>
      </c>
    </row>
    <row r="124" customFormat="false" ht="15" hidden="false" customHeight="false" outlineLevel="0" collapsed="false">
      <c r="A124" s="19" t="s">
        <v>155</v>
      </c>
      <c r="B124" s="19"/>
      <c r="C124" s="20" t="n">
        <f aca="false">C120-C123</f>
        <v>0</v>
      </c>
      <c r="D124" s="20" t="n">
        <f aca="false">D120-D123</f>
        <v>0</v>
      </c>
      <c r="E124" s="19"/>
      <c r="F124" s="55" t="str">
        <f aca="false">IF($C$120=0,"",C124/$C$120)</f>
        <v/>
      </c>
    </row>
    <row r="125" customFormat="false" ht="15" hidden="false" customHeight="false" outlineLevel="0" collapsed="false">
      <c r="A125" s="24" t="s">
        <v>156</v>
      </c>
      <c r="B125" s="24"/>
      <c r="C125" s="23" t="str">
        <f aca="false">IF(C120=0,"–",C121/C120)</f>
        <v>–</v>
      </c>
      <c r="D125" s="23" t="str">
        <f aca="false">IF(D120=0,"–",D121/D120)</f>
        <v>–</v>
      </c>
      <c r="E125" s="24"/>
      <c r="F125" s="24"/>
    </row>
    <row r="126" customFormat="false" ht="15" hidden="false" customHeight="false" outlineLevel="0" collapsed="false">
      <c r="A126" s="36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7" t="str">
        <f aca="false">" 💰 HAVI KÖLTSÉGVETÉS — "&amp;UPPER("Május")&amp;" "&amp;'📊 Éves Összesítő'!$B$2</f>
        <v> 💰 HAVI KÖLTSÉGVETÉS — MÁJUS 2026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37" t="s">
        <v>56</v>
      </c>
      <c r="B2" s="38" t="s">
        <v>57</v>
      </c>
      <c r="C2" s="38" t="s">
        <v>58</v>
      </c>
      <c r="D2" s="38" t="s">
        <v>59</v>
      </c>
      <c r="E2" s="38" t="s">
        <v>60</v>
      </c>
      <c r="F2" s="38" t="s">
        <v>33</v>
      </c>
    </row>
    <row r="3" customFormat="false" ht="18" hidden="false" customHeight="true" outlineLevel="0" collapsed="false">
      <c r="A3" s="26" t="s">
        <v>61</v>
      </c>
      <c r="B3" s="26"/>
      <c r="C3" s="26"/>
      <c r="D3" s="26"/>
      <c r="E3" s="26"/>
      <c r="F3" s="26"/>
    </row>
    <row r="4" customFormat="false" ht="15" hidden="false" customHeight="false" outlineLevel="0" collapsed="false">
      <c r="A4" s="39" t="s">
        <v>62</v>
      </c>
      <c r="B4" s="40"/>
      <c r="C4" s="40"/>
      <c r="D4" s="40"/>
      <c r="E4" s="40"/>
      <c r="F4" s="40"/>
    </row>
    <row r="5" customFormat="false" ht="15" hidden="false" customHeight="false" outlineLevel="0" collapsed="false">
      <c r="A5" s="41" t="str">
        <f aca="false">IF(Április!A5="","",Április!A5)</f>
        <v>Munkabér 1 (pl. saját)</v>
      </c>
      <c r="B5" s="42"/>
      <c r="C5" s="25"/>
      <c r="D5" s="42"/>
      <c r="E5" s="25" t="str">
        <f aca="false">IF(D5=0,"",B5-D5)</f>
        <v/>
      </c>
      <c r="F5" s="30" t="str">
        <f aca="false">IF(OR($C$16=0,B5=""),"",B5/$C$16)</f>
        <v/>
      </c>
    </row>
    <row r="6" customFormat="false" ht="15" hidden="false" customHeight="false" outlineLevel="0" collapsed="false">
      <c r="A6" s="41" t="str">
        <f aca="false">IF(Április!A6="","",Április!A6)</f>
        <v>Munkabér 2 (pl. partner)</v>
      </c>
      <c r="B6" s="42"/>
      <c r="C6" s="25"/>
      <c r="D6" s="42"/>
      <c r="E6" s="25" t="str">
        <f aca="false">IF(D6=0,"",B6-D6)</f>
        <v/>
      </c>
      <c r="F6" s="30" t="str">
        <f aca="false">IF(OR($C$16=0,B6=""),"",B6/$C$16)</f>
        <v/>
      </c>
    </row>
    <row r="7" customFormat="false" ht="15" hidden="false" customHeight="false" outlineLevel="0" collapsed="false">
      <c r="A7" s="41" t="str">
        <f aca="false">IF(Április!A7="","",Április!A7)</f>
        <v>Vállalkozói bevétel</v>
      </c>
      <c r="B7" s="42"/>
      <c r="C7" s="25"/>
      <c r="D7" s="42"/>
      <c r="E7" s="25" t="str">
        <f aca="false">IF(D7=0,"",B7-D7)</f>
        <v/>
      </c>
      <c r="F7" s="30" t="str">
        <f aca="false">IF(OR($C$16=0,B7=""),"",B7/$C$16)</f>
        <v/>
      </c>
    </row>
    <row r="8" customFormat="false" ht="15" hidden="false" customHeight="false" outlineLevel="0" collapsed="false">
      <c r="A8" s="41" t="str">
        <f aca="false">IF(Április!A8="","",Április!A8)</f>
        <v/>
      </c>
      <c r="B8" s="42"/>
      <c r="C8" s="25"/>
      <c r="D8" s="42"/>
      <c r="E8" s="25" t="str">
        <f aca="false">IF(D8=0,"",B8-D8)</f>
        <v/>
      </c>
      <c r="F8" s="30" t="str">
        <f aca="false">IF(OR($C$16=0,B8=""),"",B8/$C$16)</f>
        <v/>
      </c>
    </row>
    <row r="9" customFormat="false" ht="15" hidden="false" customHeight="false" outlineLevel="0" collapsed="false">
      <c r="A9" s="43" t="s">
        <v>66</v>
      </c>
      <c r="B9" s="35"/>
      <c r="C9" s="44" t="n">
        <f aca="false">SUM(B5:B8)</f>
        <v>0</v>
      </c>
      <c r="D9" s="44" t="n">
        <f aca="false">SUM(D5:D8)</f>
        <v>0</v>
      </c>
      <c r="E9" s="44" t="str">
        <f aca="false">IF(D9=0,"",C9-D9)</f>
        <v/>
      </c>
      <c r="F9" s="45" t="str">
        <f aca="false">IF(OR($C$16=0,C9=""),"",C9/$C$16)</f>
        <v/>
      </c>
    </row>
    <row r="10" customFormat="false" ht="15" hidden="false" customHeight="false" outlineLevel="0" collapsed="false">
      <c r="A10" s="39" t="s">
        <v>67</v>
      </c>
      <c r="B10" s="40"/>
      <c r="C10" s="40"/>
      <c r="D10" s="40"/>
      <c r="E10" s="40"/>
      <c r="F10" s="40"/>
    </row>
    <row r="11" customFormat="false" ht="15" hidden="false" customHeight="false" outlineLevel="0" collapsed="false">
      <c r="A11" s="41" t="str">
        <f aca="false">IF(Április!A11="","",Április!A11)</f>
        <v>CSED / GYED / GYES</v>
      </c>
      <c r="B11" s="42"/>
      <c r="C11" s="25"/>
      <c r="D11" s="42"/>
      <c r="E11" s="25" t="str">
        <f aca="false">IF(D11=0,"",B11-D11)</f>
        <v/>
      </c>
      <c r="F11" s="30" t="str">
        <f aca="false">IF(OR($C$16=0,B11=""),"",B11/$C$16)</f>
        <v/>
      </c>
    </row>
    <row r="12" customFormat="false" ht="15" hidden="false" customHeight="false" outlineLevel="0" collapsed="false">
      <c r="A12" s="41" t="str">
        <f aca="false">IF(Április!A12="","",Április!A12)</f>
        <v>Családi pótlék</v>
      </c>
      <c r="B12" s="42"/>
      <c r="C12" s="25"/>
      <c r="D12" s="42"/>
      <c r="E12" s="25" t="str">
        <f aca="false">IF(D12=0,"",B12-D12)</f>
        <v/>
      </c>
      <c r="F12" s="30" t="str">
        <f aca="false">IF(OR($C$16=0,B12=""),"",B12/$C$16)</f>
        <v/>
      </c>
    </row>
    <row r="13" customFormat="false" ht="15" hidden="false" customHeight="false" outlineLevel="0" collapsed="false">
      <c r="A13" s="41" t="str">
        <f aca="false">IF(Április!A13="","",Április!A13)</f>
        <v>Egyéb (lakáskiadás, bónusz stb.)</v>
      </c>
      <c r="B13" s="42"/>
      <c r="C13" s="25"/>
      <c r="D13" s="42"/>
      <c r="E13" s="25" t="str">
        <f aca="false">IF(D13=0,"",B13-D13)</f>
        <v/>
      </c>
      <c r="F13" s="30" t="str">
        <f aca="false">IF(OR($C$16=0,B13=""),"",B13/$C$16)</f>
        <v/>
      </c>
    </row>
    <row r="14" customFormat="false" ht="15" hidden="false" customHeight="false" outlineLevel="0" collapsed="false">
      <c r="A14" s="41" t="str">
        <f aca="false">IF(Április!A14="","",Április!A14)</f>
        <v/>
      </c>
      <c r="B14" s="42"/>
      <c r="C14" s="25"/>
      <c r="D14" s="42"/>
      <c r="E14" s="25" t="str">
        <f aca="false">IF(D14=0,"",B14-D14)</f>
        <v/>
      </c>
      <c r="F14" s="30" t="str">
        <f aca="false">IF(OR($C$16=0,B14=""),"",B14/$C$16)</f>
        <v/>
      </c>
    </row>
    <row r="15" customFormat="false" ht="15" hidden="false" customHeight="false" outlineLevel="0" collapsed="false">
      <c r="A15" s="43" t="s">
        <v>71</v>
      </c>
      <c r="B15" s="35"/>
      <c r="C15" s="44" t="n">
        <f aca="false">SUM(B11:B14)</f>
        <v>0</v>
      </c>
      <c r="D15" s="44" t="n">
        <f aca="false">SUM(D11:D14)</f>
        <v>0</v>
      </c>
      <c r="E15" s="44" t="str">
        <f aca="false">IF(D15=0,"",C15-D15)</f>
        <v/>
      </c>
      <c r="F15" s="45" t="str">
        <f aca="false">IF(OR($C$16=0,C15=""),"",C15/$C$16)</f>
        <v/>
      </c>
    </row>
    <row r="16" customFormat="false" ht="15" hidden="false" customHeight="false" outlineLevel="0" collapsed="false">
      <c r="A16" s="26" t="s">
        <v>72</v>
      </c>
      <c r="B16" s="26"/>
      <c r="C16" s="46" t="n">
        <f aca="false">C9+C15</f>
        <v>0</v>
      </c>
      <c r="D16" s="46" t="n">
        <f aca="false">D9+D15</f>
        <v>0</v>
      </c>
      <c r="E16" s="46" t="str">
        <f aca="false">IF(D16=0,"",C16-D16)</f>
        <v/>
      </c>
      <c r="F16" s="47" t="str">
        <f aca="false">IF($C$16=0,"",1)</f>
        <v/>
      </c>
    </row>
    <row r="17" customFormat="false" ht="18" hidden="false" customHeight="true" outlineLevel="0" collapsed="false">
      <c r="A17" s="31" t="s">
        <v>73</v>
      </c>
      <c r="B17" s="31"/>
      <c r="C17" s="31"/>
      <c r="D17" s="31"/>
      <c r="E17" s="31"/>
      <c r="F17" s="31"/>
    </row>
    <row r="18" customFormat="false" ht="15" hidden="false" customHeight="false" outlineLevel="0" collapsed="false">
      <c r="A18" s="41" t="str">
        <f aca="false">IF(Április!A18="","",Április!A18)</f>
        <v>Vésztartalék</v>
      </c>
      <c r="B18" s="42"/>
      <c r="C18" s="25"/>
      <c r="D18" s="42"/>
      <c r="E18" s="25" t="str">
        <f aca="false">IF(D18=0,"",B18-D18)</f>
        <v/>
      </c>
      <c r="F18" s="30" t="str">
        <f aca="false">IF(OR($C$28=0,B18=""),"",B18/$C$28)</f>
        <v/>
      </c>
    </row>
    <row r="19" customFormat="false" ht="15" hidden="false" customHeight="false" outlineLevel="0" collapsed="false">
      <c r="A19" s="41" t="str">
        <f aca="false">IF(Április!A19="","",Április!A19)</f>
        <v>Lakástakarékpénztár</v>
      </c>
      <c r="B19" s="42"/>
      <c r="C19" s="25"/>
      <c r="D19" s="42"/>
      <c r="E19" s="25" t="str">
        <f aca="false">IF(D19=0,"",B19-D19)</f>
        <v/>
      </c>
      <c r="F19" s="30" t="str">
        <f aca="false">IF(OR($C$28=0,B19=""),"",B19/$C$28)</f>
        <v/>
      </c>
    </row>
    <row r="20" customFormat="false" ht="15" hidden="false" customHeight="false" outlineLevel="0" collapsed="false">
      <c r="A20" s="41" t="str">
        <f aca="false">IF(Április!A20="","",Április!A20)</f>
        <v>Általános cél</v>
      </c>
      <c r="B20" s="42"/>
      <c r="C20" s="25"/>
      <c r="D20" s="42"/>
      <c r="E20" s="25" t="str">
        <f aca="false">IF(D20=0,"",B20-D20)</f>
        <v/>
      </c>
      <c r="F20" s="30" t="str">
        <f aca="false">IF(OR($C$28=0,B20=""),"",B20/$C$28)</f>
        <v/>
      </c>
    </row>
    <row r="21" customFormat="false" ht="15" hidden="false" customHeight="false" outlineLevel="0" collapsed="false">
      <c r="A21" s="41" t="str">
        <f aca="false">IF(Április!A21="","",Április!A21)</f>
        <v>Hosszú távú (min. 10 éves, általános célú)</v>
      </c>
      <c r="B21" s="42"/>
      <c r="C21" s="25"/>
      <c r="D21" s="42"/>
      <c r="E21" s="25" t="str">
        <f aca="false">IF(D21=0,"",B21-D21)</f>
        <v/>
      </c>
      <c r="F21" s="30" t="str">
        <f aca="false">IF(OR($C$28=0,B21=""),"",B21/$C$28)</f>
        <v/>
      </c>
    </row>
    <row r="22" customFormat="false" ht="15" hidden="false" customHeight="false" outlineLevel="0" collapsed="false">
      <c r="A22" s="41" t="str">
        <f aca="false">IF(Április!A22="","",Április!A22)</f>
        <v>Hosszú távú (min. 10 éves, lakás célú)</v>
      </c>
      <c r="B22" s="42"/>
      <c r="C22" s="25"/>
      <c r="D22" s="42"/>
      <c r="E22" s="25" t="str">
        <f aca="false">IF(D22=0,"",B22-D22)</f>
        <v/>
      </c>
      <c r="F22" s="30" t="str">
        <f aca="false">IF(OR($C$28=0,B22=""),"",B22/$C$28)</f>
        <v/>
      </c>
    </row>
    <row r="23" customFormat="false" ht="15" hidden="false" customHeight="false" outlineLevel="0" collapsed="false">
      <c r="A23" s="41" t="str">
        <f aca="false">IF(Április!A23="","",Április!A23)</f>
        <v>Hosszú távú (min. 10 éves, gyermek jövője célú)</v>
      </c>
      <c r="B23" s="42"/>
      <c r="C23" s="25"/>
      <c r="D23" s="42"/>
      <c r="E23" s="25" t="str">
        <f aca="false">IF(D23=0,"",B23-D23)</f>
        <v/>
      </c>
      <c r="F23" s="30" t="str">
        <f aca="false">IF(OR($C$28=0,B23=""),"",B23/$C$28)</f>
        <v/>
      </c>
    </row>
    <row r="24" customFormat="false" ht="15" hidden="false" customHeight="false" outlineLevel="0" collapsed="false">
      <c r="A24" s="41" t="str">
        <f aca="false">IF(Április!A24="","",Április!A24)</f>
        <v>Hosszú távú (min. 15 éves, nyugdíj célú)</v>
      </c>
      <c r="B24" s="42"/>
      <c r="C24" s="25"/>
      <c r="D24" s="42"/>
      <c r="E24" s="25" t="str">
        <f aca="false">IF(D24=0,"",B24-D24)</f>
        <v/>
      </c>
      <c r="F24" s="30" t="str">
        <f aca="false">IF(OR($C$28=0,B24=""),"",B24/$C$28)</f>
        <v/>
      </c>
    </row>
    <row r="25" customFormat="false" ht="15" hidden="false" customHeight="false" outlineLevel="0" collapsed="false">
      <c r="A25" s="41" t="str">
        <f aca="false">IF(Április!A25="","",Április!A25)</f>
        <v>Nyugdíjbiztosítás</v>
      </c>
      <c r="B25" s="42"/>
      <c r="C25" s="25"/>
      <c r="D25" s="42"/>
      <c r="E25" s="25" t="str">
        <f aca="false">IF(D25=0,"",B25-D25)</f>
        <v/>
      </c>
      <c r="F25" s="30" t="str">
        <f aca="false">IF(OR($C$28=0,B25=""),"",B25/$C$28)</f>
        <v/>
      </c>
    </row>
    <row r="26" customFormat="false" ht="15" hidden="false" customHeight="false" outlineLevel="0" collapsed="false">
      <c r="A26" s="41" t="str">
        <f aca="false">IF(Április!A26="","",Április!A26)</f>
        <v/>
      </c>
      <c r="B26" s="42"/>
      <c r="C26" s="25"/>
      <c r="D26" s="42"/>
      <c r="E26" s="25" t="str">
        <f aca="false">IF(D26=0,"",B26-D26)</f>
        <v/>
      </c>
      <c r="F26" s="30" t="str">
        <f aca="false">IF(OR($C$28=0,B26=""),"",B26/$C$28)</f>
        <v/>
      </c>
    </row>
    <row r="27" customFormat="false" ht="15" hidden="false" customHeight="false" outlineLevel="0" collapsed="false">
      <c r="A27" s="41" t="str">
        <f aca="false">IF(Április!A27="","",Április!A27)</f>
        <v/>
      </c>
      <c r="B27" s="42"/>
      <c r="C27" s="25"/>
      <c r="D27" s="42"/>
      <c r="E27" s="25" t="str">
        <f aca="false">IF(D27=0,"",B27-D27)</f>
        <v/>
      </c>
      <c r="F27" s="30" t="str">
        <f aca="false">IF(OR($C$28=0,B27=""),"",B27/$C$28)</f>
        <v/>
      </c>
    </row>
    <row r="28" customFormat="false" ht="15" hidden="false" customHeight="false" outlineLevel="0" collapsed="false">
      <c r="A28" s="31" t="s">
        <v>82</v>
      </c>
      <c r="B28" s="31"/>
      <c r="C28" s="48" t="n">
        <f aca="false">SUM(B18:B27)</f>
        <v>0</v>
      </c>
      <c r="D28" s="48" t="n">
        <f aca="false">SUM(D18:D27)</f>
        <v>0</v>
      </c>
      <c r="E28" s="48" t="str">
        <f aca="false">IF(D28=0,"",C28-D28)</f>
        <v/>
      </c>
      <c r="F28" s="49" t="str">
        <f aca="false">IF($C$16=0,"",C28/$C$16)</f>
        <v/>
      </c>
    </row>
    <row r="29" customFormat="false" ht="18" hidden="false" customHeight="true" outlineLevel="0" collapsed="false">
      <c r="A29" s="33" t="s">
        <v>83</v>
      </c>
      <c r="B29" s="33"/>
      <c r="C29" s="33"/>
      <c r="D29" s="33"/>
      <c r="E29" s="33"/>
      <c r="F29" s="33"/>
    </row>
    <row r="30" customFormat="false" ht="15" hidden="false" customHeight="false" outlineLevel="0" collapsed="false">
      <c r="A30" s="39" t="s">
        <v>43</v>
      </c>
      <c r="B30" s="40"/>
      <c r="C30" s="40"/>
      <c r="D30" s="40"/>
      <c r="E30" s="40"/>
      <c r="F30" s="40"/>
    </row>
    <row r="31" customFormat="false" ht="15" hidden="false" customHeight="false" outlineLevel="0" collapsed="false">
      <c r="A31" s="41" t="str">
        <f aca="false">IF(Április!A31="","",Április!A31)</f>
        <v>Albérleti díj / lakáshitel</v>
      </c>
      <c r="B31" s="42"/>
      <c r="C31" s="25"/>
      <c r="D31" s="42"/>
      <c r="E31" s="25" t="str">
        <f aca="false">IF(D31=0,"",D31-B31)</f>
        <v/>
      </c>
      <c r="F31" s="30" t="str">
        <f aca="false">IF(OR($C$118=0,B31=""),"",B31/$C$118)</f>
        <v/>
      </c>
    </row>
    <row r="32" customFormat="false" ht="15" hidden="false" customHeight="false" outlineLevel="0" collapsed="false">
      <c r="A32" s="41" t="str">
        <f aca="false">IF(Április!A32="","",Április!A32)</f>
        <v>Rezsi (közművek, közös költség)</v>
      </c>
      <c r="B32" s="42"/>
      <c r="C32" s="25"/>
      <c r="D32" s="42"/>
      <c r="E32" s="25" t="str">
        <f aca="false">IF(D32=0,"",D32-B32)</f>
        <v/>
      </c>
      <c r="F32" s="30" t="str">
        <f aca="false">IF(OR($C$118=0,B32=""),"",B32/$C$118)</f>
        <v/>
      </c>
    </row>
    <row r="33" customFormat="false" ht="15" hidden="false" customHeight="false" outlineLevel="0" collapsed="false">
      <c r="A33" s="41" t="str">
        <f aca="false">IF(Április!A33="","",Április!A33)</f>
        <v>Telefon, internet, digitális előfizetések</v>
      </c>
      <c r="B33" s="42"/>
      <c r="C33" s="25"/>
      <c r="D33" s="42"/>
      <c r="E33" s="25" t="str">
        <f aca="false">IF(D33=0,"",D33-B33)</f>
        <v/>
      </c>
      <c r="F33" s="30" t="str">
        <f aca="false">IF(OR($C$118=0,B33=""),"",B33/$C$118)</f>
        <v/>
      </c>
    </row>
    <row r="34" customFormat="false" ht="15" hidden="false" customHeight="false" outlineLevel="0" collapsed="false">
      <c r="A34" s="41" t="str">
        <f aca="false">IF(Április!A34="","",Április!A34)</f>
        <v/>
      </c>
      <c r="B34" s="42"/>
      <c r="C34" s="25"/>
      <c r="D34" s="42"/>
      <c r="E34" s="25" t="str">
        <f aca="false">IF(D34=0,"",D34-B34)</f>
        <v/>
      </c>
      <c r="F34" s="30" t="str">
        <f aca="false">IF(OR($C$118=0,B34=""),"",B34/$C$118)</f>
        <v/>
      </c>
    </row>
    <row r="35" customFormat="false" ht="15" hidden="false" customHeight="false" outlineLevel="0" collapsed="false">
      <c r="A35" s="43" t="s">
        <v>87</v>
      </c>
      <c r="B35" s="35"/>
      <c r="C35" s="44" t="n">
        <f aca="false">SUM(B31:B34)</f>
        <v>0</v>
      </c>
      <c r="D35" s="44" t="n">
        <f aca="false">SUM(D31:D34)</f>
        <v>0</v>
      </c>
      <c r="E35" s="44" t="str">
        <f aca="false">IF(D35=0,"",D35-C35)</f>
        <v/>
      </c>
      <c r="F35" s="45" t="str">
        <f aca="false">IF(OR($C$118=0,C35=""),"",C35/$C$118)</f>
        <v/>
      </c>
    </row>
    <row r="36" customFormat="false" ht="15" hidden="false" customHeight="false" outlineLevel="0" collapsed="false">
      <c r="A36" s="39" t="s">
        <v>44</v>
      </c>
      <c r="B36" s="40"/>
      <c r="C36" s="40"/>
      <c r="D36" s="40"/>
      <c r="E36" s="40"/>
      <c r="F36" s="40"/>
    </row>
    <row r="37" customFormat="false" ht="15" hidden="false" customHeight="false" outlineLevel="0" collapsed="false">
      <c r="A37" s="41" t="str">
        <f aca="false">IF(Április!A37="","",Április!A37)</f>
        <v>Nagybevásárlások</v>
      </c>
      <c r="B37" s="42"/>
      <c r="C37" s="25"/>
      <c r="D37" s="42"/>
      <c r="E37" s="25" t="str">
        <f aca="false">IF(D37=0,"",D37-B37)</f>
        <v/>
      </c>
      <c r="F37" s="30" t="str">
        <f aca="false">IF(OR($C$118=0,B37=""),"",B37/$C$118)</f>
        <v/>
      </c>
    </row>
    <row r="38" customFormat="false" ht="15" hidden="false" customHeight="false" outlineLevel="0" collapsed="false">
      <c r="A38" s="41" t="str">
        <f aca="false">IF(Április!A38="","",Április!A38)</f>
        <v>Drogéria</v>
      </c>
      <c r="B38" s="42"/>
      <c r="C38" s="25"/>
      <c r="D38" s="42"/>
      <c r="E38" s="25" t="str">
        <f aca="false">IF(D38=0,"",D38-B38)</f>
        <v/>
      </c>
      <c r="F38" s="30" t="str">
        <f aca="false">IF(OR($C$118=0,B38=""),"",B38/$C$118)</f>
        <v/>
      </c>
    </row>
    <row r="39" customFormat="false" ht="15" hidden="false" customHeight="false" outlineLevel="0" collapsed="false">
      <c r="A39" s="41" t="str">
        <f aca="false">IF(Április!A39="","",Április!A39)</f>
        <v>Ételrendelés</v>
      </c>
      <c r="B39" s="42"/>
      <c r="C39" s="25"/>
      <c r="D39" s="42"/>
      <c r="E39" s="25" t="str">
        <f aca="false">IF(D39=0,"",D39-B39)</f>
        <v/>
      </c>
      <c r="F39" s="30" t="str">
        <f aca="false">IF(OR($C$118=0,B39=""),"",B39/$C$118)</f>
        <v/>
      </c>
    </row>
    <row r="40" customFormat="false" ht="15" hidden="false" customHeight="false" outlineLevel="0" collapsed="false">
      <c r="A40" s="41" t="str">
        <f aca="false">IF(Április!A40="","",Április!A40)</f>
        <v>Egyéb élelmiszer, bevásárlás</v>
      </c>
      <c r="B40" s="42"/>
      <c r="C40" s="25"/>
      <c r="D40" s="42"/>
      <c r="E40" s="25" t="str">
        <f aca="false">IF(D40=0,"",D40-B40)</f>
        <v/>
      </c>
      <c r="F40" s="30" t="str">
        <f aca="false">IF(OR($C$118=0,B40=""),"",B40/$C$118)</f>
        <v/>
      </c>
    </row>
    <row r="41" customFormat="false" ht="15" hidden="false" customHeight="false" outlineLevel="0" collapsed="false">
      <c r="A41" s="41" t="str">
        <f aca="false">IF(Április!A41="","",Április!A41)</f>
        <v/>
      </c>
      <c r="B41" s="42"/>
      <c r="C41" s="25"/>
      <c r="D41" s="42"/>
      <c r="E41" s="25" t="str">
        <f aca="false">IF(D41=0,"",D41-B41)</f>
        <v/>
      </c>
      <c r="F41" s="30" t="str">
        <f aca="false">IF(OR($C$118=0,B41=""),"",B41/$C$118)</f>
        <v/>
      </c>
    </row>
    <row r="42" customFormat="false" ht="15" hidden="false" customHeight="false" outlineLevel="0" collapsed="false">
      <c r="A42" s="43" t="s">
        <v>92</v>
      </c>
      <c r="B42" s="35"/>
      <c r="C42" s="44" t="n">
        <f aca="false">SUM(B37:B41)</f>
        <v>0</v>
      </c>
      <c r="D42" s="44" t="n">
        <f aca="false">SUM(D37:D41)</f>
        <v>0</v>
      </c>
      <c r="E42" s="44" t="str">
        <f aca="false">IF(D42=0,"",D42-C42)</f>
        <v/>
      </c>
      <c r="F42" s="45" t="str">
        <f aca="false">IF(OR($C$118=0,C42=""),"",C42/$C$118)</f>
        <v/>
      </c>
    </row>
    <row r="43" customFormat="false" ht="15" hidden="false" customHeight="false" outlineLevel="0" collapsed="false">
      <c r="A43" s="39" t="s">
        <v>45</v>
      </c>
      <c r="B43" s="40"/>
      <c r="C43" s="40"/>
      <c r="D43" s="40"/>
      <c r="E43" s="40"/>
      <c r="F43" s="40"/>
    </row>
    <row r="44" customFormat="false" ht="15" hidden="false" customHeight="false" outlineLevel="0" collapsed="false">
      <c r="A44" s="41" t="str">
        <f aca="false">IF(Április!A44="","",Április!A44)</f>
        <v>Lakásbiztosítás</v>
      </c>
      <c r="B44" s="42"/>
      <c r="C44" s="25"/>
      <c r="D44" s="42"/>
      <c r="E44" s="25" t="str">
        <f aca="false">IF(D44=0,"",D44-B44)</f>
        <v/>
      </c>
      <c r="F44" s="30" t="str">
        <f aca="false">IF(OR($C$118=0,B44=""),"",B44/$C$118)</f>
        <v/>
      </c>
    </row>
    <row r="45" customFormat="false" ht="15" hidden="false" customHeight="false" outlineLevel="0" collapsed="false">
      <c r="A45" s="41" t="str">
        <f aca="false">IF(Április!A45="","",Április!A45)</f>
        <v>Életbiztosítás</v>
      </c>
      <c r="B45" s="42"/>
      <c r="C45" s="25"/>
      <c r="D45" s="42"/>
      <c r="E45" s="25" t="str">
        <f aca="false">IF(D45=0,"",D45-B45)</f>
        <v/>
      </c>
      <c r="F45" s="30" t="str">
        <f aca="false">IF(OR($C$118=0,B45=""),"",B45/$C$118)</f>
        <v/>
      </c>
    </row>
    <row r="46" customFormat="false" ht="15" hidden="false" customHeight="false" outlineLevel="0" collapsed="false">
      <c r="A46" s="41" t="str">
        <f aca="false">IF(Április!A46="","",Április!A46)</f>
        <v>Baleset- és betegségbiztosítás</v>
      </c>
      <c r="B46" s="42"/>
      <c r="C46" s="25"/>
      <c r="D46" s="42"/>
      <c r="E46" s="25" t="str">
        <f aca="false">IF(D46=0,"",D46-B46)</f>
        <v/>
      </c>
      <c r="F46" s="30" t="str">
        <f aca="false">IF(OR($C$118=0,B46=""),"",B46/$C$118)</f>
        <v/>
      </c>
    </row>
    <row r="47" customFormat="false" ht="15" hidden="false" customHeight="false" outlineLevel="0" collapsed="false">
      <c r="A47" s="41" t="str">
        <f aca="false">IF(Április!A47="","",Április!A47)</f>
        <v>Egészségbiztosítás</v>
      </c>
      <c r="B47" s="42"/>
      <c r="C47" s="25"/>
      <c r="D47" s="42"/>
      <c r="E47" s="25" t="str">
        <f aca="false">IF(D47=0,"",D47-B47)</f>
        <v/>
      </c>
      <c r="F47" s="30" t="str">
        <f aca="false">IF(OR($C$118=0,B47=""),"",B47/$C$118)</f>
        <v/>
      </c>
    </row>
    <row r="48" customFormat="false" ht="15" hidden="false" customHeight="false" outlineLevel="0" collapsed="false">
      <c r="A48" s="41" t="str">
        <f aca="false">IF(Április!A48="","",Április!A48)</f>
        <v>Hiteltörlesztés</v>
      </c>
      <c r="B48" s="42"/>
      <c r="C48" s="25"/>
      <c r="D48" s="42"/>
      <c r="E48" s="25" t="str">
        <f aca="false">IF(D48=0,"",D48-B48)</f>
        <v/>
      </c>
      <c r="F48" s="30" t="str">
        <f aca="false">IF(OR($C$118=0,B48=""),"",B48/$C$118)</f>
        <v/>
      </c>
    </row>
    <row r="49" customFormat="false" ht="15" hidden="false" customHeight="false" outlineLevel="0" collapsed="false">
      <c r="A49" s="41" t="str">
        <f aca="false">IF(Április!A49="","",Április!A49)</f>
        <v>Egyéb szerződés</v>
      </c>
      <c r="B49" s="42"/>
      <c r="C49" s="25"/>
      <c r="D49" s="42"/>
      <c r="E49" s="25" t="str">
        <f aca="false">IF(D49=0,"",D49-B49)</f>
        <v/>
      </c>
      <c r="F49" s="30" t="str">
        <f aca="false">IF(OR($C$118=0,B49=""),"",B49/$C$118)</f>
        <v/>
      </c>
    </row>
    <row r="50" customFormat="false" ht="15" hidden="false" customHeight="false" outlineLevel="0" collapsed="false">
      <c r="A50" s="41" t="str">
        <f aca="false">IF(Április!A50="","",Április!A50)</f>
        <v/>
      </c>
      <c r="B50" s="42"/>
      <c r="C50" s="25"/>
      <c r="D50" s="42"/>
      <c r="E50" s="25" t="str">
        <f aca="false">IF(D50=0,"",D50-B50)</f>
        <v/>
      </c>
      <c r="F50" s="30" t="str">
        <f aca="false">IF(OR($C$118=0,B50=""),"",B50/$C$118)</f>
        <v/>
      </c>
    </row>
    <row r="51" customFormat="false" ht="15" hidden="false" customHeight="false" outlineLevel="0" collapsed="false">
      <c r="A51" s="41" t="str">
        <f aca="false">IF(Április!A51="","",Április!A51)</f>
        <v/>
      </c>
      <c r="B51" s="42"/>
      <c r="C51" s="25"/>
      <c r="D51" s="42"/>
      <c r="E51" s="25" t="str">
        <f aca="false">IF(D51=0,"",D51-B51)</f>
        <v/>
      </c>
      <c r="F51" s="30" t="str">
        <f aca="false">IF(OR($C$118=0,B51=""),"",B51/$C$118)</f>
        <v/>
      </c>
    </row>
    <row r="52" customFormat="false" ht="15" hidden="false" customHeight="false" outlineLevel="0" collapsed="false">
      <c r="A52" s="43" t="s">
        <v>99</v>
      </c>
      <c r="B52" s="35"/>
      <c r="C52" s="44" t="n">
        <f aca="false">SUM(B44:B51)</f>
        <v>0</v>
      </c>
      <c r="D52" s="44" t="n">
        <f aca="false">SUM(D44:D51)</f>
        <v>0</v>
      </c>
      <c r="E52" s="44" t="str">
        <f aca="false">IF(D52=0,"",D52-C52)</f>
        <v/>
      </c>
      <c r="F52" s="45" t="str">
        <f aca="false">IF(OR($C$118=0,C52=""),"",C52/$C$118)</f>
        <v/>
      </c>
    </row>
    <row r="53" customFormat="false" ht="15" hidden="false" customHeight="false" outlineLevel="0" collapsed="false">
      <c r="A53" s="39" t="s">
        <v>46</v>
      </c>
      <c r="B53" s="40"/>
      <c r="C53" s="40"/>
      <c r="D53" s="40"/>
      <c r="E53" s="40"/>
      <c r="F53" s="40"/>
    </row>
    <row r="54" customFormat="false" ht="15" hidden="false" customHeight="false" outlineLevel="0" collapsed="false">
      <c r="A54" s="41" t="str">
        <f aca="false">IF(Április!A54="","",Április!A54)</f>
        <v>Üzemanyag, elektromos töltés</v>
      </c>
      <c r="B54" s="42"/>
      <c r="C54" s="25"/>
      <c r="D54" s="42"/>
      <c r="E54" s="25" t="str">
        <f aca="false">IF(D54=0,"",D54-B54)</f>
        <v/>
      </c>
      <c r="F54" s="30" t="str">
        <f aca="false">IF(OR($C$118=0,B54=""),"",B54/$C$118)</f>
        <v/>
      </c>
    </row>
    <row r="55" customFormat="false" ht="15" hidden="false" customHeight="false" outlineLevel="0" collapsed="false">
      <c r="A55" s="41" t="str">
        <f aca="false">IF(Április!A55="","",Április!A55)</f>
        <v>Parkolás, útdíj, autópálya-matrica</v>
      </c>
      <c r="B55" s="42"/>
      <c r="C55" s="25"/>
      <c r="D55" s="42"/>
      <c r="E55" s="25" t="str">
        <f aca="false">IF(D55=0,"",D55-B55)</f>
        <v/>
      </c>
      <c r="F55" s="30" t="str">
        <f aca="false">IF(OR($C$118=0,B55=""),"",B55/$C$118)</f>
        <v/>
      </c>
    </row>
    <row r="56" customFormat="false" ht="15" hidden="false" customHeight="false" outlineLevel="0" collapsed="false">
      <c r="A56" s="41" t="str">
        <f aca="false">IF(Április!A56="","",Április!A56)</f>
        <v>Szerviz, karbantartás, gumicsere</v>
      </c>
      <c r="B56" s="42"/>
      <c r="C56" s="25"/>
      <c r="D56" s="42"/>
      <c r="E56" s="25" t="str">
        <f aca="false">IF(D56=0,"",D56-B56)</f>
        <v/>
      </c>
      <c r="F56" s="30" t="str">
        <f aca="false">IF(OR($C$118=0,B56=""),"",B56/$C$118)</f>
        <v/>
      </c>
    </row>
    <row r="57" customFormat="false" ht="15" hidden="false" customHeight="false" outlineLevel="0" collapsed="false">
      <c r="A57" s="41" t="str">
        <f aca="false">IF(Április!A57="","",Április!A57)</f>
        <v>KGFB (kötelező biztosítás)</v>
      </c>
      <c r="B57" s="42"/>
      <c r="C57" s="25"/>
      <c r="D57" s="42"/>
      <c r="E57" s="25" t="str">
        <f aca="false">IF(D57=0,"",D57-B57)</f>
        <v/>
      </c>
      <c r="F57" s="30" t="str">
        <f aca="false">IF(OR($C$118=0,B57=""),"",B57/$C$118)</f>
        <v/>
      </c>
    </row>
    <row r="58" customFormat="false" ht="15" hidden="false" customHeight="false" outlineLevel="0" collapsed="false">
      <c r="A58" s="41" t="str">
        <f aca="false">IF(Április!A58="","",Április!A58)</f>
        <v>CASCO</v>
      </c>
      <c r="B58" s="42"/>
      <c r="C58" s="25"/>
      <c r="D58" s="42"/>
      <c r="E58" s="25" t="str">
        <f aca="false">IF(D58=0,"",D58-B58)</f>
        <v/>
      </c>
      <c r="F58" s="30" t="str">
        <f aca="false">IF(OR($C$118=0,B58=""),"",B58/$C$118)</f>
        <v/>
      </c>
    </row>
    <row r="59" customFormat="false" ht="15" hidden="false" customHeight="false" outlineLevel="0" collapsed="false">
      <c r="A59" s="41" t="str">
        <f aca="false">IF(Április!A59="","",Április!A59)</f>
        <v>Gépjárműadó</v>
      </c>
      <c r="B59" s="42"/>
      <c r="C59" s="25"/>
      <c r="D59" s="42"/>
      <c r="E59" s="25" t="str">
        <f aca="false">IF(D59=0,"",D59-B59)</f>
        <v/>
      </c>
      <c r="F59" s="30" t="str">
        <f aca="false">IF(OR($C$118=0,B59=""),"",B59/$C$118)</f>
        <v/>
      </c>
    </row>
    <row r="60" customFormat="false" ht="15" hidden="false" customHeight="false" outlineLevel="0" collapsed="false">
      <c r="A60" s="41" t="str">
        <f aca="false">IF(Április!A60="","",Április!A60)</f>
        <v>Autóhitel, lízing részlet</v>
      </c>
      <c r="B60" s="42"/>
      <c r="C60" s="25"/>
      <c r="D60" s="42"/>
      <c r="E60" s="25" t="str">
        <f aca="false">IF(D60=0,"",D60-B60)</f>
        <v/>
      </c>
      <c r="F60" s="30" t="str">
        <f aca="false">IF(OR($C$118=0,B60=""),"",B60/$C$118)</f>
        <v/>
      </c>
    </row>
    <row r="61" customFormat="false" ht="15" hidden="false" customHeight="false" outlineLevel="0" collapsed="false">
      <c r="A61" s="41" t="str">
        <f aca="false">IF(Április!A61="","",Április!A61)</f>
        <v>Autómosás, egyéb autós költség</v>
      </c>
      <c r="B61" s="42"/>
      <c r="C61" s="25"/>
      <c r="D61" s="42"/>
      <c r="E61" s="25" t="str">
        <f aca="false">IF(D61=0,"",D61-B61)</f>
        <v/>
      </c>
      <c r="F61" s="30" t="str">
        <f aca="false">IF(OR($C$118=0,B61=""),"",B61/$C$118)</f>
        <v/>
      </c>
    </row>
    <row r="62" customFormat="false" ht="15" hidden="false" customHeight="false" outlineLevel="0" collapsed="false">
      <c r="A62" s="41" t="str">
        <f aca="false">IF(Április!A62="","",Április!A62)</f>
        <v>Tömegközlekedés, bérlet</v>
      </c>
      <c r="B62" s="42"/>
      <c r="C62" s="25"/>
      <c r="D62" s="42"/>
      <c r="E62" s="25" t="str">
        <f aca="false">IF(D62=0,"",D62-B62)</f>
        <v/>
      </c>
      <c r="F62" s="30" t="str">
        <f aca="false">IF(OR($C$118=0,B62=""),"",B62/$C$118)</f>
        <v/>
      </c>
    </row>
    <row r="63" customFormat="false" ht="15" hidden="false" customHeight="false" outlineLevel="0" collapsed="false">
      <c r="A63" s="41" t="str">
        <f aca="false">IF(Április!A63="","",Április!A63)</f>
        <v>Taxi, roller, bicikli, közösségi közlekedés</v>
      </c>
      <c r="B63" s="42"/>
      <c r="C63" s="25"/>
      <c r="D63" s="42"/>
      <c r="E63" s="25" t="str">
        <f aca="false">IF(D63=0,"",D63-B63)</f>
        <v/>
      </c>
      <c r="F63" s="30" t="str">
        <f aca="false">IF(OR($C$118=0,B63=""),"",B63/$C$118)</f>
        <v/>
      </c>
    </row>
    <row r="64" customFormat="false" ht="15" hidden="false" customHeight="false" outlineLevel="0" collapsed="false">
      <c r="A64" s="41" t="str">
        <f aca="false">IF(Április!A64="","",Április!A64)</f>
        <v/>
      </c>
      <c r="B64" s="42"/>
      <c r="C64" s="25"/>
      <c r="D64" s="42"/>
      <c r="E64" s="25" t="str">
        <f aca="false">IF(D64=0,"",D64-B64)</f>
        <v/>
      </c>
      <c r="F64" s="30" t="str">
        <f aca="false">IF(OR($C$118=0,B64=""),"",B64/$C$118)</f>
        <v/>
      </c>
    </row>
    <row r="65" customFormat="false" ht="15" hidden="false" customHeight="false" outlineLevel="0" collapsed="false">
      <c r="A65" s="41" t="str">
        <f aca="false">IF(Április!A65="","",Április!A65)</f>
        <v/>
      </c>
      <c r="B65" s="42"/>
      <c r="C65" s="25"/>
      <c r="D65" s="42"/>
      <c r="E65" s="25" t="str">
        <f aca="false">IF(D65=0,"",D65-B65)</f>
        <v/>
      </c>
      <c r="F65" s="30" t="str">
        <f aca="false">IF(OR($C$118=0,B65=""),"",B65/$C$118)</f>
        <v/>
      </c>
    </row>
    <row r="66" customFormat="false" ht="15" hidden="false" customHeight="false" outlineLevel="0" collapsed="false">
      <c r="A66" s="43" t="s">
        <v>110</v>
      </c>
      <c r="B66" s="35"/>
      <c r="C66" s="44" t="n">
        <f aca="false">SUM(B54:B65)</f>
        <v>0</v>
      </c>
      <c r="D66" s="44" t="n">
        <f aca="false">SUM(D54:D65)</f>
        <v>0</v>
      </c>
      <c r="E66" s="44" t="str">
        <f aca="false">IF(D66=0,"",D66-C66)</f>
        <v/>
      </c>
      <c r="F66" s="45" t="str">
        <f aca="false">IF(OR($C$118=0,C66=""),"",C66/$C$118)</f>
        <v/>
      </c>
    </row>
    <row r="67" customFormat="false" ht="15" hidden="false" customHeight="false" outlineLevel="0" collapsed="false">
      <c r="A67" s="39" t="s">
        <v>47</v>
      </c>
      <c r="B67" s="40"/>
      <c r="C67" s="40"/>
      <c r="D67" s="40"/>
      <c r="E67" s="40"/>
      <c r="F67" s="40"/>
    </row>
    <row r="68" customFormat="false" ht="15" hidden="false" customHeight="false" outlineLevel="0" collapsed="false">
      <c r="A68" s="41" t="str">
        <f aca="false">IF(Április!A68="","",Április!A68)</f>
        <v>Gyerek ruha, cipő</v>
      </c>
      <c r="B68" s="42"/>
      <c r="C68" s="25"/>
      <c r="D68" s="42"/>
      <c r="E68" s="25" t="str">
        <f aca="false">IF(D68=0,"",D68-B68)</f>
        <v/>
      </c>
      <c r="F68" s="30" t="str">
        <f aca="false">IF(OR($C$118=0,B68=""),"",B68/$C$118)</f>
        <v/>
      </c>
    </row>
    <row r="69" customFormat="false" ht="15" hidden="false" customHeight="false" outlineLevel="0" collapsed="false">
      <c r="A69" s="41" t="str">
        <f aca="false">IF(Április!A69="","",Április!A69)</f>
        <v>Gyerek étkeztetés (menza)</v>
      </c>
      <c r="B69" s="42"/>
      <c r="C69" s="25"/>
      <c r="D69" s="42"/>
      <c r="E69" s="25" t="str">
        <f aca="false">IF(D69=0,"",D69-B69)</f>
        <v/>
      </c>
      <c r="F69" s="30" t="str">
        <f aca="false">IF(OR($C$118=0,B69=""),"",B69/$C$118)</f>
        <v/>
      </c>
    </row>
    <row r="70" customFormat="false" ht="15" hidden="false" customHeight="false" outlineLevel="0" collapsed="false">
      <c r="A70" s="41" t="str">
        <f aca="false">IF(Április!A70="","",Április!A70)</f>
        <v>Bölcsőde, óvoda, iskola díjai</v>
      </c>
      <c r="B70" s="42"/>
      <c r="C70" s="25"/>
      <c r="D70" s="42"/>
      <c r="E70" s="25" t="str">
        <f aca="false">IF(D70=0,"",D70-B70)</f>
        <v/>
      </c>
      <c r="F70" s="30" t="str">
        <f aca="false">IF(OR($C$118=0,B70=""),"",B70/$C$118)</f>
        <v/>
      </c>
    </row>
    <row r="71" customFormat="false" ht="15" hidden="false" customHeight="false" outlineLevel="0" collapsed="false">
      <c r="A71" s="41" t="str">
        <f aca="false">IF(Április!A71="","",Április!A71)</f>
        <v>Tankönyv, tanszer</v>
      </c>
      <c r="B71" s="42"/>
      <c r="C71" s="25"/>
      <c r="D71" s="42"/>
      <c r="E71" s="25" t="str">
        <f aca="false">IF(D71=0,"",D71-B71)</f>
        <v/>
      </c>
      <c r="F71" s="30" t="str">
        <f aca="false">IF(OR($C$118=0,B71=""),"",B71/$C$118)</f>
        <v/>
      </c>
    </row>
    <row r="72" customFormat="false" ht="15" hidden="false" customHeight="false" outlineLevel="0" collapsed="false">
      <c r="A72" s="41" t="str">
        <f aca="false">IF(Április!A72="","",Április!A72)</f>
        <v>Különórák, edzések</v>
      </c>
      <c r="B72" s="42"/>
      <c r="C72" s="25"/>
      <c r="D72" s="42"/>
      <c r="E72" s="25" t="str">
        <f aca="false">IF(D72=0,"",D72-B72)</f>
        <v/>
      </c>
      <c r="F72" s="30" t="str">
        <f aca="false">IF(OR($C$118=0,B72=""),"",B72/$C$118)</f>
        <v/>
      </c>
    </row>
    <row r="73" customFormat="false" ht="15" hidden="false" customHeight="false" outlineLevel="0" collapsed="false">
      <c r="A73" s="41" t="str">
        <f aca="false">IF(Április!A73="","",Április!A73)</f>
        <v>Magánóra, korrepetálás</v>
      </c>
      <c r="B73" s="42"/>
      <c r="C73" s="25"/>
      <c r="D73" s="42"/>
      <c r="E73" s="25" t="str">
        <f aca="false">IF(D73=0,"",D73-B73)</f>
        <v/>
      </c>
      <c r="F73" s="30" t="str">
        <f aca="false">IF(OR($C$118=0,B73=""),"",B73/$C$118)</f>
        <v/>
      </c>
    </row>
    <row r="74" customFormat="false" ht="15" hidden="false" customHeight="false" outlineLevel="0" collapsed="false">
      <c r="A74" s="41" t="str">
        <f aca="false">IF(Április!A74="","",Április!A74)</f>
        <v>Zsebpénz</v>
      </c>
      <c r="B74" s="42"/>
      <c r="C74" s="25"/>
      <c r="D74" s="42"/>
      <c r="E74" s="25" t="str">
        <f aca="false">IF(D74=0,"",D74-B74)</f>
        <v/>
      </c>
      <c r="F74" s="30" t="str">
        <f aca="false">IF(OR($C$118=0,B74=""),"",B74/$C$118)</f>
        <v/>
      </c>
    </row>
    <row r="75" customFormat="false" ht="15" hidden="false" customHeight="false" outlineLevel="0" collapsed="false">
      <c r="A75" s="41" t="str">
        <f aca="false">IF(Április!A75="","",Április!A75)</f>
        <v>Játékok, szórakozás</v>
      </c>
      <c r="B75" s="42"/>
      <c r="C75" s="25"/>
      <c r="D75" s="42"/>
      <c r="E75" s="25" t="str">
        <f aca="false">IF(D75=0,"",D75-B75)</f>
        <v/>
      </c>
      <c r="F75" s="30" t="str">
        <f aca="false">IF(OR($C$118=0,B75=""),"",B75/$C$118)</f>
        <v/>
      </c>
    </row>
    <row r="76" customFormat="false" ht="15" hidden="false" customHeight="false" outlineLevel="0" collapsed="false">
      <c r="A76" s="41" t="str">
        <f aca="false">IF(Április!A76="","",Április!A76)</f>
        <v/>
      </c>
      <c r="B76" s="42"/>
      <c r="C76" s="25"/>
      <c r="D76" s="42"/>
      <c r="E76" s="25" t="str">
        <f aca="false">IF(D76=0,"",D76-B76)</f>
        <v/>
      </c>
      <c r="F76" s="30" t="str">
        <f aca="false">IF(OR($C$118=0,B76=""),"",B76/$C$118)</f>
        <v/>
      </c>
    </row>
    <row r="77" customFormat="false" ht="15" hidden="false" customHeight="false" outlineLevel="0" collapsed="false">
      <c r="A77" s="41" t="str">
        <f aca="false">IF(Április!A77="","",Április!A77)</f>
        <v/>
      </c>
      <c r="B77" s="42"/>
      <c r="C77" s="25"/>
      <c r="D77" s="42"/>
      <c r="E77" s="25" t="str">
        <f aca="false">IF(D77=0,"",D77-B77)</f>
        <v/>
      </c>
      <c r="F77" s="30" t="str">
        <f aca="false">IF(OR($C$118=0,B77=""),"",B77/$C$118)</f>
        <v/>
      </c>
    </row>
    <row r="78" customFormat="false" ht="15" hidden="false" customHeight="false" outlineLevel="0" collapsed="false">
      <c r="A78" s="41" t="str">
        <f aca="false">IF(Április!A78="","",Április!A78)</f>
        <v/>
      </c>
      <c r="B78" s="42"/>
      <c r="C78" s="25"/>
      <c r="D78" s="42"/>
      <c r="E78" s="25" t="str">
        <f aca="false">IF(D78=0,"",D78-B78)</f>
        <v/>
      </c>
      <c r="F78" s="30" t="str">
        <f aca="false">IF(OR($C$118=0,B78=""),"",B78/$C$118)</f>
        <v/>
      </c>
    </row>
    <row r="79" customFormat="false" ht="15" hidden="false" customHeight="false" outlineLevel="0" collapsed="false">
      <c r="A79" s="43" t="s">
        <v>119</v>
      </c>
      <c r="B79" s="35"/>
      <c r="C79" s="44" t="n">
        <f aca="false">SUM(B68:B78)</f>
        <v>0</v>
      </c>
      <c r="D79" s="44" t="n">
        <f aca="false">SUM(D68:D78)</f>
        <v>0</v>
      </c>
      <c r="E79" s="44" t="str">
        <f aca="false">IF(D79=0,"",D79-C79)</f>
        <v/>
      </c>
      <c r="F79" s="45" t="str">
        <f aca="false">IF(OR($C$118=0,C79=""),"",C79/$C$118)</f>
        <v/>
      </c>
    </row>
    <row r="80" customFormat="false" ht="15" hidden="false" customHeight="false" outlineLevel="0" collapsed="false">
      <c r="A80" s="39" t="s">
        <v>48</v>
      </c>
      <c r="B80" s="40"/>
      <c r="C80" s="40"/>
      <c r="D80" s="40"/>
      <c r="E80" s="40"/>
      <c r="F80" s="40"/>
    </row>
    <row r="81" customFormat="false" ht="15" hidden="false" customHeight="false" outlineLevel="0" collapsed="false">
      <c r="A81" s="41" t="str">
        <f aca="false">IF(Április!A81="","",Április!A81)</f>
        <v>Ruha</v>
      </c>
      <c r="B81" s="42"/>
      <c r="C81" s="25"/>
      <c r="D81" s="42"/>
      <c r="E81" s="25" t="str">
        <f aca="false">IF(D81=0,"",D81-B81)</f>
        <v/>
      </c>
      <c r="F81" s="30" t="str">
        <f aca="false">IF(OR($C$118=0,B81=""),"",B81/$C$118)</f>
        <v/>
      </c>
    </row>
    <row r="82" customFormat="false" ht="15" hidden="false" customHeight="false" outlineLevel="0" collapsed="false">
      <c r="A82" s="41" t="str">
        <f aca="false">IF(Április!A82="","",Április!A82)</f>
        <v>Cipő</v>
      </c>
      <c r="B82" s="42"/>
      <c r="C82" s="25"/>
      <c r="D82" s="42"/>
      <c r="E82" s="25" t="str">
        <f aca="false">IF(D82=0,"",D82-B82)</f>
        <v/>
      </c>
      <c r="F82" s="30" t="str">
        <f aca="false">IF(OR($C$118=0,B82=""),"",B82/$C$118)</f>
        <v/>
      </c>
    </row>
    <row r="83" customFormat="false" ht="15" hidden="false" customHeight="false" outlineLevel="0" collapsed="false">
      <c r="A83" s="41" t="str">
        <f aca="false">IF(Április!A83="","",Április!A83)</f>
        <v>Kiegészítők (táska, ékszer, óra)</v>
      </c>
      <c r="B83" s="42"/>
      <c r="C83" s="25"/>
      <c r="D83" s="42"/>
      <c r="E83" s="25" t="str">
        <f aca="false">IF(D83=0,"",D83-B83)</f>
        <v/>
      </c>
      <c r="F83" s="30" t="str">
        <f aca="false">IF(OR($C$118=0,B83=""),"",B83/$C$118)</f>
        <v/>
      </c>
    </row>
    <row r="84" customFormat="false" ht="15" hidden="false" customHeight="false" outlineLevel="0" collapsed="false">
      <c r="A84" s="41" t="str">
        <f aca="false">IF(Április!A84="","",Április!A84)</f>
        <v/>
      </c>
      <c r="B84" s="42"/>
      <c r="C84" s="25"/>
      <c r="D84" s="42"/>
      <c r="E84" s="25" t="str">
        <f aca="false">IF(D84=0,"",D84-B84)</f>
        <v/>
      </c>
      <c r="F84" s="30" t="str">
        <f aca="false">IF(OR($C$118=0,B84=""),"",B84/$C$118)</f>
        <v/>
      </c>
    </row>
    <row r="85" customFormat="false" ht="15" hidden="false" customHeight="false" outlineLevel="0" collapsed="false">
      <c r="A85" s="43" t="s">
        <v>123</v>
      </c>
      <c r="B85" s="35"/>
      <c r="C85" s="44" t="n">
        <f aca="false">SUM(B81:B84)</f>
        <v>0</v>
      </c>
      <c r="D85" s="44" t="n">
        <f aca="false">SUM(D81:D84)</f>
        <v>0</v>
      </c>
      <c r="E85" s="44" t="str">
        <f aca="false">IF(D85=0,"",D85-C85)</f>
        <v/>
      </c>
      <c r="F85" s="45" t="str">
        <f aca="false">IF(OR($C$118=0,C85=""),"",C85/$C$118)</f>
        <v/>
      </c>
    </row>
    <row r="86" customFormat="false" ht="15" hidden="false" customHeight="false" outlineLevel="0" collapsed="false">
      <c r="A86" s="39" t="s">
        <v>49</v>
      </c>
      <c r="B86" s="40"/>
      <c r="C86" s="40"/>
      <c r="D86" s="40"/>
      <c r="E86" s="40"/>
      <c r="F86" s="40"/>
    </row>
    <row r="87" customFormat="false" ht="15" hidden="false" customHeight="false" outlineLevel="0" collapsed="false">
      <c r="A87" s="41" t="str">
        <f aca="false">IF(Április!A87="","",Április!A87)</f>
        <v>Fodrász, borbély</v>
      </c>
      <c r="B87" s="42"/>
      <c r="C87" s="25"/>
      <c r="D87" s="42"/>
      <c r="E87" s="25" t="str">
        <f aca="false">IF(D87=0,"",D87-B87)</f>
        <v/>
      </c>
      <c r="F87" s="30" t="str">
        <f aca="false">IF(OR($C$118=0,B87=""),"",B87/$C$118)</f>
        <v/>
      </c>
    </row>
    <row r="88" customFormat="false" ht="15" hidden="false" customHeight="false" outlineLevel="0" collapsed="false">
      <c r="A88" s="41" t="str">
        <f aca="false">IF(Április!A88="","",Április!A88)</f>
        <v>Kozmetikus, manikűr, pedikűr</v>
      </c>
      <c r="B88" s="42"/>
      <c r="C88" s="25"/>
      <c r="D88" s="42"/>
      <c r="E88" s="25" t="str">
        <f aca="false">IF(D88=0,"",D88-B88)</f>
        <v/>
      </c>
      <c r="F88" s="30" t="str">
        <f aca="false">IF(OR($C$118=0,B88=""),"",B88/$C$118)</f>
        <v/>
      </c>
    </row>
    <row r="89" customFormat="false" ht="15" hidden="false" customHeight="false" outlineLevel="0" collapsed="false">
      <c r="A89" s="41" t="str">
        <f aca="false">IF(Április!A89="","",Április!A89)</f>
        <v>Kozmetikumok, parfüm</v>
      </c>
      <c r="B89" s="42"/>
      <c r="C89" s="25"/>
      <c r="D89" s="42"/>
      <c r="E89" s="25" t="str">
        <f aca="false">IF(D89=0,"",D89-B89)</f>
        <v/>
      </c>
      <c r="F89" s="30" t="str">
        <f aca="false">IF(OR($C$118=0,B89=""),"",B89/$C$118)</f>
        <v/>
      </c>
    </row>
    <row r="90" customFormat="false" ht="15" hidden="false" customHeight="false" outlineLevel="0" collapsed="false">
      <c r="A90" s="41" t="str">
        <f aca="false">IF(Április!A90="","",Április!A90)</f>
        <v>Edzés, sport, bérlet</v>
      </c>
      <c r="B90" s="42"/>
      <c r="C90" s="25"/>
      <c r="D90" s="42"/>
      <c r="E90" s="25" t="str">
        <f aca="false">IF(D90=0,"",D90-B90)</f>
        <v/>
      </c>
      <c r="F90" s="30" t="str">
        <f aca="false">IF(OR($C$118=0,B90=""),"",B90/$C$118)</f>
        <v/>
      </c>
    </row>
    <row r="91" customFormat="false" ht="15" hidden="false" customHeight="false" outlineLevel="0" collapsed="false">
      <c r="A91" s="41" t="str">
        <f aca="false">IF(Április!A91="","",Április!A91)</f>
        <v>Gyógyszer, vitamin</v>
      </c>
      <c r="B91" s="42"/>
      <c r="C91" s="25"/>
      <c r="D91" s="42"/>
      <c r="E91" s="25" t="str">
        <f aca="false">IF(D91=0,"",D91-B91)</f>
        <v/>
      </c>
      <c r="F91" s="30" t="str">
        <f aca="false">IF(OR($C$118=0,B91=""),"",B91/$C$118)</f>
        <v/>
      </c>
    </row>
    <row r="92" customFormat="false" ht="15" hidden="false" customHeight="false" outlineLevel="0" collapsed="false">
      <c r="A92" s="41" t="str">
        <f aca="false">IF(Április!A92="","",Április!A92)</f>
        <v>Orvos, fogorvos, magánrendelés</v>
      </c>
      <c r="B92" s="42"/>
      <c r="C92" s="25"/>
      <c r="D92" s="42"/>
      <c r="E92" s="25" t="str">
        <f aca="false">IF(D92=0,"",D92-B92)</f>
        <v/>
      </c>
      <c r="F92" s="30" t="str">
        <f aca="false">IF(OR($C$118=0,B92=""),"",B92/$C$118)</f>
        <v/>
      </c>
    </row>
    <row r="93" customFormat="false" ht="15" hidden="false" customHeight="false" outlineLevel="0" collapsed="false">
      <c r="A93" s="41" t="str">
        <f aca="false">IF(Április!A93="","",Április!A93)</f>
        <v/>
      </c>
      <c r="B93" s="42"/>
      <c r="C93" s="25"/>
      <c r="D93" s="42"/>
      <c r="E93" s="25" t="str">
        <f aca="false">IF(D93=0,"",D93-B93)</f>
        <v/>
      </c>
      <c r="F93" s="30" t="str">
        <f aca="false">IF(OR($C$118=0,B93=""),"",B93/$C$118)</f>
        <v/>
      </c>
    </row>
    <row r="94" customFormat="false" ht="15" hidden="false" customHeight="false" outlineLevel="0" collapsed="false">
      <c r="A94" s="43" t="s">
        <v>130</v>
      </c>
      <c r="B94" s="35"/>
      <c r="C94" s="44" t="n">
        <f aca="false">SUM(B87:B93)</f>
        <v>0</v>
      </c>
      <c r="D94" s="44" t="n">
        <f aca="false">SUM(D87:D93)</f>
        <v>0</v>
      </c>
      <c r="E94" s="44" t="str">
        <f aca="false">IF(D94=0,"",D94-C94)</f>
        <v/>
      </c>
      <c r="F94" s="45" t="str">
        <f aca="false">IF(OR($C$118=0,C94=""),"",C94/$C$118)</f>
        <v/>
      </c>
    </row>
    <row r="95" customFormat="false" ht="15" hidden="false" customHeight="false" outlineLevel="0" collapsed="false">
      <c r="A95" s="39" t="s">
        <v>50</v>
      </c>
      <c r="B95" s="40"/>
      <c r="C95" s="40"/>
      <c r="D95" s="40"/>
      <c r="E95" s="40"/>
      <c r="F95" s="40"/>
    </row>
    <row r="96" customFormat="false" ht="15" hidden="false" customHeight="false" outlineLevel="0" collapsed="false">
      <c r="A96" s="41" t="str">
        <f aca="false">IF(Április!A96="","",Április!A96)</f>
        <v>Cigaretta, dohány</v>
      </c>
      <c r="B96" s="42"/>
      <c r="C96" s="25"/>
      <c r="D96" s="42"/>
      <c r="E96" s="25" t="str">
        <f aca="false">IF(D96=0,"",D96-B96)</f>
        <v/>
      </c>
      <c r="F96" s="30" t="str">
        <f aca="false">IF(OR($C$118=0,B96=""),"",B96/$C$118)</f>
        <v/>
      </c>
    </row>
    <row r="97" customFormat="false" ht="15" hidden="false" customHeight="false" outlineLevel="0" collapsed="false">
      <c r="A97" s="41" t="str">
        <f aca="false">IF(Április!A97="","",Április!A97)</f>
        <v>E-cigaretta, hevített dohánytermék</v>
      </c>
      <c r="B97" s="42"/>
      <c r="C97" s="25"/>
      <c r="D97" s="42"/>
      <c r="E97" s="25" t="str">
        <f aca="false">IF(D97=0,"",D97-B97)</f>
        <v/>
      </c>
      <c r="F97" s="30" t="str">
        <f aca="false">IF(OR($C$118=0,B97=""),"",B97/$C$118)</f>
        <v/>
      </c>
    </row>
    <row r="98" customFormat="false" ht="15" hidden="false" customHeight="false" outlineLevel="0" collapsed="false">
      <c r="A98" s="41" t="str">
        <f aca="false">IF(Április!A98="","",Április!A98)</f>
        <v/>
      </c>
      <c r="B98" s="42"/>
      <c r="C98" s="25"/>
      <c r="D98" s="42"/>
      <c r="E98" s="25" t="str">
        <f aca="false">IF(D98=0,"",D98-B98)</f>
        <v/>
      </c>
      <c r="F98" s="30" t="str">
        <f aca="false">IF(OR($C$118=0,B98=""),"",B98/$C$118)</f>
        <v/>
      </c>
    </row>
    <row r="99" customFormat="false" ht="15" hidden="false" customHeight="false" outlineLevel="0" collapsed="false">
      <c r="A99" s="43" t="s">
        <v>133</v>
      </c>
      <c r="B99" s="35"/>
      <c r="C99" s="44" t="n">
        <f aca="false">SUM(B96:B98)</f>
        <v>0</v>
      </c>
      <c r="D99" s="44" t="n">
        <f aca="false">SUM(D96:D98)</f>
        <v>0</v>
      </c>
      <c r="E99" s="44" t="str">
        <f aca="false">IF(D99=0,"",D99-C99)</f>
        <v/>
      </c>
      <c r="F99" s="45" t="str">
        <f aca="false">IF(OR($C$118=0,C99=""),"",C99/$C$118)</f>
        <v/>
      </c>
    </row>
    <row r="100" customFormat="false" ht="15" hidden="false" customHeight="false" outlineLevel="0" collapsed="false">
      <c r="A100" s="39" t="s">
        <v>51</v>
      </c>
      <c r="B100" s="40"/>
      <c r="C100" s="40"/>
      <c r="D100" s="40"/>
      <c r="E100" s="40"/>
      <c r="F100" s="40"/>
    </row>
    <row r="101" customFormat="false" ht="15" hidden="false" customHeight="false" outlineLevel="0" collapsed="false">
      <c r="A101" s="41" t="str">
        <f aca="false">IF(Április!A101="","",Április!A101)</f>
        <v>Állateledel, jutalomfalat</v>
      </c>
      <c r="B101" s="42"/>
      <c r="C101" s="25"/>
      <c r="D101" s="42"/>
      <c r="E101" s="25" t="str">
        <f aca="false">IF(D101=0,"",D101-B101)</f>
        <v/>
      </c>
      <c r="F101" s="30" t="str">
        <f aca="false">IF(OR($C$118=0,B101=""),"",B101/$C$118)</f>
        <v/>
      </c>
    </row>
    <row r="102" customFormat="false" ht="15" hidden="false" customHeight="false" outlineLevel="0" collapsed="false">
      <c r="A102" s="41" t="str">
        <f aca="false">IF(Április!A102="","",Április!A102)</f>
        <v>Állatorvos, oltások, gyógyszer</v>
      </c>
      <c r="B102" s="42"/>
      <c r="C102" s="25"/>
      <c r="D102" s="42"/>
      <c r="E102" s="25" t="str">
        <f aca="false">IF(D102=0,"",D102-B102)</f>
        <v/>
      </c>
      <c r="F102" s="30" t="str">
        <f aca="false">IF(OR($C$118=0,B102=""),"",B102/$C$118)</f>
        <v/>
      </c>
    </row>
    <row r="103" customFormat="false" ht="15" hidden="false" customHeight="false" outlineLevel="0" collapsed="false">
      <c r="A103" s="41" t="str">
        <f aca="false">IF(Április!A103="","",Április!A103)</f>
        <v>Felszerelés, alom, játékok</v>
      </c>
      <c r="B103" s="42"/>
      <c r="C103" s="25"/>
      <c r="D103" s="42"/>
      <c r="E103" s="25" t="str">
        <f aca="false">IF(D103=0,"",D103-B103)</f>
        <v/>
      </c>
      <c r="F103" s="30" t="str">
        <f aca="false">IF(OR($C$118=0,B103=""),"",B103/$C$118)</f>
        <v/>
      </c>
    </row>
    <row r="104" customFormat="false" ht="15" hidden="false" customHeight="false" outlineLevel="0" collapsed="false">
      <c r="A104" s="41" t="str">
        <f aca="false">IF(Április!A104="","",Április!A104)</f>
        <v>Kisállat-kozmetika, panzió, kutyaiskola</v>
      </c>
      <c r="B104" s="42"/>
      <c r="C104" s="25"/>
      <c r="D104" s="42"/>
      <c r="E104" s="25" t="str">
        <f aca="false">IF(D104=0,"",D104-B104)</f>
        <v/>
      </c>
      <c r="F104" s="30" t="str">
        <f aca="false">IF(OR($C$118=0,B104=""),"",B104/$C$118)</f>
        <v/>
      </c>
    </row>
    <row r="105" customFormat="false" ht="15" hidden="false" customHeight="false" outlineLevel="0" collapsed="false">
      <c r="A105" s="41" t="str">
        <f aca="false">IF(Április!A105="","",Április!A105)</f>
        <v/>
      </c>
      <c r="B105" s="42"/>
      <c r="C105" s="25"/>
      <c r="D105" s="42"/>
      <c r="E105" s="25" t="str">
        <f aca="false">IF(D105=0,"",D105-B105)</f>
        <v/>
      </c>
      <c r="F105" s="30" t="str">
        <f aca="false">IF(OR($C$118=0,B105=""),"",B105/$C$118)</f>
        <v/>
      </c>
    </row>
    <row r="106" customFormat="false" ht="15" hidden="false" customHeight="false" outlineLevel="0" collapsed="false">
      <c r="A106" s="43" t="s">
        <v>138</v>
      </c>
      <c r="B106" s="35"/>
      <c r="C106" s="44" t="n">
        <f aca="false">SUM(B101:B105)</f>
        <v>0</v>
      </c>
      <c r="D106" s="44" t="n">
        <f aca="false">SUM(D101:D105)</f>
        <v>0</v>
      </c>
      <c r="E106" s="44" t="str">
        <f aca="false">IF(D106=0,"",D106-C106)</f>
        <v/>
      </c>
      <c r="F106" s="45" t="str">
        <f aca="false">IF(OR($C$118=0,C106=""),"",C106/$C$118)</f>
        <v/>
      </c>
    </row>
    <row r="107" customFormat="false" ht="15" hidden="false" customHeight="false" outlineLevel="0" collapsed="false">
      <c r="A107" s="39" t="s">
        <v>52</v>
      </c>
      <c r="B107" s="40"/>
      <c r="C107" s="40"/>
      <c r="D107" s="40"/>
      <c r="E107" s="40"/>
      <c r="F107" s="40"/>
    </row>
    <row r="108" customFormat="false" ht="15" hidden="false" customHeight="false" outlineLevel="0" collapsed="false">
      <c r="A108" s="41" t="str">
        <f aca="false">IF(Április!A108="","",Április!A108)</f>
        <v>Hobbi</v>
      </c>
      <c r="B108" s="42"/>
      <c r="C108" s="25"/>
      <c r="D108" s="42"/>
      <c r="E108" s="25" t="str">
        <f aca="false">IF(D108=0,"",D108-B108)</f>
        <v/>
      </c>
      <c r="F108" s="30" t="str">
        <f aca="false">IF(OR($C$118=0,B108=""),"",B108/$C$118)</f>
        <v/>
      </c>
    </row>
    <row r="109" customFormat="false" ht="15" hidden="false" customHeight="false" outlineLevel="0" collapsed="false">
      <c r="A109" s="41" t="str">
        <f aca="false">IF(Április!A109="","",Április!A109)</f>
        <v>Szórakozás (mozi, színház, koncert, étterem)</v>
      </c>
      <c r="B109" s="42"/>
      <c r="C109" s="25"/>
      <c r="D109" s="42"/>
      <c r="E109" s="25" t="str">
        <f aca="false">IF(D109=0,"",D109-B109)</f>
        <v/>
      </c>
      <c r="F109" s="30" t="str">
        <f aca="false">IF(OR($C$118=0,B109=""),"",B109/$C$118)</f>
        <v/>
      </c>
    </row>
    <row r="110" customFormat="false" ht="15" hidden="false" customHeight="false" outlineLevel="0" collapsed="false">
      <c r="A110" s="41" t="str">
        <f aca="false">IF(Április!A110="","",Április!A110)</f>
        <v>Nyaralás, utazás</v>
      </c>
      <c r="B110" s="42"/>
      <c r="C110" s="25"/>
      <c r="D110" s="42"/>
      <c r="E110" s="25" t="str">
        <f aca="false">IF(D110=0,"",D110-B110)</f>
        <v/>
      </c>
      <c r="F110" s="30" t="str">
        <f aca="false">IF(OR($C$118=0,B110=""),"",B110/$C$118)</f>
        <v/>
      </c>
    </row>
    <row r="111" customFormat="false" ht="15" hidden="false" customHeight="false" outlineLevel="0" collapsed="false">
      <c r="A111" s="41" t="str">
        <f aca="false">IF(Április!A111="","",Április!A111)</f>
        <v/>
      </c>
      <c r="B111" s="42"/>
      <c r="C111" s="25"/>
      <c r="D111" s="42"/>
      <c r="E111" s="25" t="str">
        <f aca="false">IF(D111=0,"",D111-B111)</f>
        <v/>
      </c>
      <c r="F111" s="30" t="str">
        <f aca="false">IF(OR($C$118=0,B111=""),"",B111/$C$118)</f>
        <v/>
      </c>
    </row>
    <row r="112" customFormat="false" ht="15" hidden="false" customHeight="false" outlineLevel="0" collapsed="false">
      <c r="A112" s="43" t="s">
        <v>142</v>
      </c>
      <c r="B112" s="35"/>
      <c r="C112" s="44" t="n">
        <f aca="false">SUM(B108:B111)</f>
        <v>0</v>
      </c>
      <c r="D112" s="44" t="n">
        <f aca="false">SUM(D108:D111)</f>
        <v>0</v>
      </c>
      <c r="E112" s="44" t="str">
        <f aca="false">IF(D112=0,"",D112-C112)</f>
        <v/>
      </c>
      <c r="F112" s="45" t="str">
        <f aca="false">IF(OR($C$118=0,C112=""),"",C112/$C$118)</f>
        <v/>
      </c>
    </row>
    <row r="113" customFormat="false" ht="15" hidden="false" customHeight="false" outlineLevel="0" collapsed="false">
      <c r="A113" s="39" t="s">
        <v>53</v>
      </c>
      <c r="B113" s="40"/>
      <c r="C113" s="40"/>
      <c r="D113" s="40"/>
      <c r="E113" s="40"/>
      <c r="F113" s="40"/>
    </row>
    <row r="114" customFormat="false" ht="15" hidden="false" customHeight="false" outlineLevel="0" collapsed="false">
      <c r="A114" s="41" t="str">
        <f aca="false">IF(Április!A114="","",Április!A114)</f>
        <v>Ünnepek, ajándékok</v>
      </c>
      <c r="B114" s="42"/>
      <c r="C114" s="25"/>
      <c r="D114" s="42"/>
      <c r="E114" s="25" t="str">
        <f aca="false">IF(D114=0,"",D114-B114)</f>
        <v/>
      </c>
      <c r="F114" s="30" t="str">
        <f aca="false">IF(OR($C$118=0,B114=""),"",B114/$C$118)</f>
        <v/>
      </c>
    </row>
    <row r="115" customFormat="false" ht="15" hidden="false" customHeight="false" outlineLevel="0" collapsed="false">
      <c r="A115" s="41" t="str">
        <f aca="false">IF(Április!A115="","",Április!A115)</f>
        <v>Egyéb kiadás</v>
      </c>
      <c r="B115" s="42"/>
      <c r="C115" s="25"/>
      <c r="D115" s="42"/>
      <c r="E115" s="25" t="str">
        <f aca="false">IF(D115=0,"",D115-B115)</f>
        <v/>
      </c>
      <c r="F115" s="30" t="str">
        <f aca="false">IF(OR($C$118=0,B115=""),"",B115/$C$118)</f>
        <v/>
      </c>
    </row>
    <row r="116" customFormat="false" ht="15" hidden="false" customHeight="false" outlineLevel="0" collapsed="false">
      <c r="A116" s="41" t="str">
        <f aca="false">IF(Április!A116="","",Április!A116)</f>
        <v/>
      </c>
      <c r="B116" s="42"/>
      <c r="C116" s="25"/>
      <c r="D116" s="42"/>
      <c r="E116" s="25" t="str">
        <f aca="false">IF(D116=0,"",D116-B116)</f>
        <v/>
      </c>
      <c r="F116" s="30" t="str">
        <f aca="false">IF(OR($C$118=0,B116=""),"",B116/$C$118)</f>
        <v/>
      </c>
    </row>
    <row r="117" customFormat="false" ht="15" hidden="false" customHeight="false" outlineLevel="0" collapsed="false">
      <c r="A117" s="43" t="s">
        <v>145</v>
      </c>
      <c r="B117" s="35"/>
      <c r="C117" s="44" t="n">
        <f aca="false">SUM(B114:B116)</f>
        <v>0</v>
      </c>
      <c r="D117" s="44" t="n">
        <f aca="false">SUM(D114:D116)</f>
        <v>0</v>
      </c>
      <c r="E117" s="44" t="str">
        <f aca="false">IF(D117=0,"",D117-C117)</f>
        <v/>
      </c>
      <c r="F117" s="45" t="str">
        <f aca="false">IF(OR($C$118=0,C117=""),"",C117/$C$118)</f>
        <v/>
      </c>
    </row>
    <row r="118" customFormat="false" ht="15" hidden="false" customHeight="false" outlineLevel="0" collapsed="false">
      <c r="A118" s="33" t="s">
        <v>146</v>
      </c>
      <c r="B118" s="33"/>
      <c r="C118" s="50" t="n">
        <f aca="false">C35+C42+C52+C66+C79+C85+C94+C99+C106+C112+C117</f>
        <v>0</v>
      </c>
      <c r="D118" s="50" t="n">
        <f aca="false">D35+D42+D52+D66+D79+D85+D94+D99+D106+D112+D117</f>
        <v>0</v>
      </c>
      <c r="E118" s="50" t="str">
        <f aca="false">IF(D118=0,"",D118-C118)</f>
        <v/>
      </c>
      <c r="F118" s="51" t="str">
        <f aca="false">IF($C$16=0,"",C118/$C$16)</f>
        <v/>
      </c>
    </row>
    <row r="119" customFormat="false" ht="15" hidden="false" customHeight="false" outlineLevel="0" collapsed="false">
      <c r="A119" s="8" t="s">
        <v>147</v>
      </c>
      <c r="B119" s="8"/>
      <c r="C119" s="8" t="s">
        <v>148</v>
      </c>
      <c r="D119" s="8" t="s">
        <v>149</v>
      </c>
      <c r="E119" s="8"/>
      <c r="F119" s="8" t="s">
        <v>150</v>
      </c>
    </row>
    <row r="120" customFormat="false" ht="15" hidden="false" customHeight="false" outlineLevel="0" collapsed="false">
      <c r="A120" s="13" t="s">
        <v>151</v>
      </c>
      <c r="B120" s="52"/>
      <c r="C120" s="53" t="n">
        <f aca="false">C16</f>
        <v>0</v>
      </c>
      <c r="D120" s="53" t="n">
        <f aca="false">D16</f>
        <v>0</v>
      </c>
      <c r="E120" s="52"/>
      <c r="F120" s="54" t="str">
        <f aca="false">IF($C$120=0,"",C120/$C$120)</f>
        <v/>
      </c>
    </row>
    <row r="121" customFormat="false" ht="15" hidden="false" customHeight="false" outlineLevel="0" collapsed="false">
      <c r="A121" s="17" t="s">
        <v>152</v>
      </c>
      <c r="B121" s="52"/>
      <c r="C121" s="53" t="n">
        <f aca="false">C28</f>
        <v>0</v>
      </c>
      <c r="D121" s="53" t="n">
        <f aca="false">D28</f>
        <v>0</v>
      </c>
      <c r="E121" s="52"/>
      <c r="F121" s="54" t="str">
        <f aca="false">IF($C$120=0,"",C121/$C$120)</f>
        <v/>
      </c>
    </row>
    <row r="122" customFormat="false" ht="15" hidden="false" customHeight="false" outlineLevel="0" collapsed="false">
      <c r="A122" s="18" t="s">
        <v>153</v>
      </c>
      <c r="B122" s="52"/>
      <c r="C122" s="53" t="n">
        <f aca="false">C118</f>
        <v>0</v>
      </c>
      <c r="D122" s="53" t="n">
        <f aca="false">D118</f>
        <v>0</v>
      </c>
      <c r="E122" s="52"/>
      <c r="F122" s="54" t="str">
        <f aca="false">IF($C$120=0,"",C122/$C$120)</f>
        <v/>
      </c>
    </row>
    <row r="123" customFormat="false" ht="15" hidden="false" customHeight="false" outlineLevel="0" collapsed="false">
      <c r="A123" s="33" t="s">
        <v>154</v>
      </c>
      <c r="B123" s="33"/>
      <c r="C123" s="50" t="n">
        <f aca="false">C121+C122</f>
        <v>0</v>
      </c>
      <c r="D123" s="50" t="n">
        <f aca="false">D121+D122</f>
        <v>0</v>
      </c>
      <c r="E123" s="33"/>
      <c r="F123" s="51" t="str">
        <f aca="false">IF($C$120=0,"",C123/$C$120)</f>
        <v/>
      </c>
    </row>
    <row r="124" customFormat="false" ht="15" hidden="false" customHeight="false" outlineLevel="0" collapsed="false">
      <c r="A124" s="19" t="s">
        <v>155</v>
      </c>
      <c r="B124" s="19"/>
      <c r="C124" s="20" t="n">
        <f aca="false">C120-C123</f>
        <v>0</v>
      </c>
      <c r="D124" s="20" t="n">
        <f aca="false">D120-D123</f>
        <v>0</v>
      </c>
      <c r="E124" s="19"/>
      <c r="F124" s="55" t="str">
        <f aca="false">IF($C$120=0,"",C124/$C$120)</f>
        <v/>
      </c>
    </row>
    <row r="125" customFormat="false" ht="15" hidden="false" customHeight="false" outlineLevel="0" collapsed="false">
      <c r="A125" s="24" t="s">
        <v>156</v>
      </c>
      <c r="B125" s="24"/>
      <c r="C125" s="23" t="str">
        <f aca="false">IF(C120=0,"–",C121/C120)</f>
        <v>–</v>
      </c>
      <c r="D125" s="23" t="str">
        <f aca="false">IF(D120=0,"–",D121/D120)</f>
        <v>–</v>
      </c>
      <c r="E125" s="24"/>
      <c r="F125" s="24"/>
    </row>
    <row r="126" customFormat="false" ht="15" hidden="false" customHeight="false" outlineLevel="0" collapsed="false">
      <c r="A126" s="36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7" t="str">
        <f aca="false">" 💰 HAVI KÖLTSÉGVETÉS — "&amp;UPPER("Június")&amp;" "&amp;'📊 Éves Összesítő'!$B$2</f>
        <v> 💰 HAVI KÖLTSÉGVETÉS — JÚNIUS 2026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37" t="s">
        <v>56</v>
      </c>
      <c r="B2" s="38" t="s">
        <v>57</v>
      </c>
      <c r="C2" s="38" t="s">
        <v>58</v>
      </c>
      <c r="D2" s="38" t="s">
        <v>59</v>
      </c>
      <c r="E2" s="38" t="s">
        <v>60</v>
      </c>
      <c r="F2" s="38" t="s">
        <v>33</v>
      </c>
    </row>
    <row r="3" customFormat="false" ht="18" hidden="false" customHeight="true" outlineLevel="0" collapsed="false">
      <c r="A3" s="26" t="s">
        <v>61</v>
      </c>
      <c r="B3" s="26"/>
      <c r="C3" s="26"/>
      <c r="D3" s="26"/>
      <c r="E3" s="26"/>
      <c r="F3" s="26"/>
    </row>
    <row r="4" customFormat="false" ht="15" hidden="false" customHeight="false" outlineLevel="0" collapsed="false">
      <c r="A4" s="39" t="s">
        <v>62</v>
      </c>
      <c r="B4" s="40"/>
      <c r="C4" s="40"/>
      <c r="D4" s="40"/>
      <c r="E4" s="40"/>
      <c r="F4" s="40"/>
    </row>
    <row r="5" customFormat="false" ht="15" hidden="false" customHeight="false" outlineLevel="0" collapsed="false">
      <c r="A5" s="41" t="str">
        <f aca="false">IF(Május!A5="","",Május!A5)</f>
        <v>Munkabér 1 (pl. saját)</v>
      </c>
      <c r="B5" s="42"/>
      <c r="C5" s="25"/>
      <c r="D5" s="42"/>
      <c r="E5" s="25" t="str">
        <f aca="false">IF(D5=0,"",B5-D5)</f>
        <v/>
      </c>
      <c r="F5" s="30" t="str">
        <f aca="false">IF(OR($C$16=0,B5=""),"",B5/$C$16)</f>
        <v/>
      </c>
    </row>
    <row r="6" customFormat="false" ht="15" hidden="false" customHeight="false" outlineLevel="0" collapsed="false">
      <c r="A6" s="41" t="str">
        <f aca="false">IF(Május!A6="","",Május!A6)</f>
        <v>Munkabér 2 (pl. partner)</v>
      </c>
      <c r="B6" s="42"/>
      <c r="C6" s="25"/>
      <c r="D6" s="42"/>
      <c r="E6" s="25" t="str">
        <f aca="false">IF(D6=0,"",B6-D6)</f>
        <v/>
      </c>
      <c r="F6" s="30" t="str">
        <f aca="false">IF(OR($C$16=0,B6=""),"",B6/$C$16)</f>
        <v/>
      </c>
    </row>
    <row r="7" customFormat="false" ht="15" hidden="false" customHeight="false" outlineLevel="0" collapsed="false">
      <c r="A7" s="41" t="str">
        <f aca="false">IF(Május!A7="","",Május!A7)</f>
        <v>Vállalkozói bevétel</v>
      </c>
      <c r="B7" s="42"/>
      <c r="C7" s="25"/>
      <c r="D7" s="42"/>
      <c r="E7" s="25" t="str">
        <f aca="false">IF(D7=0,"",B7-D7)</f>
        <v/>
      </c>
      <c r="F7" s="30" t="str">
        <f aca="false">IF(OR($C$16=0,B7=""),"",B7/$C$16)</f>
        <v/>
      </c>
    </row>
    <row r="8" customFormat="false" ht="15" hidden="false" customHeight="false" outlineLevel="0" collapsed="false">
      <c r="A8" s="41" t="str">
        <f aca="false">IF(Május!A8="","",Május!A8)</f>
        <v/>
      </c>
      <c r="B8" s="42"/>
      <c r="C8" s="25"/>
      <c r="D8" s="42"/>
      <c r="E8" s="25" t="str">
        <f aca="false">IF(D8=0,"",B8-D8)</f>
        <v/>
      </c>
      <c r="F8" s="30" t="str">
        <f aca="false">IF(OR($C$16=0,B8=""),"",B8/$C$16)</f>
        <v/>
      </c>
    </row>
    <row r="9" customFormat="false" ht="15" hidden="false" customHeight="false" outlineLevel="0" collapsed="false">
      <c r="A9" s="43" t="s">
        <v>66</v>
      </c>
      <c r="B9" s="35"/>
      <c r="C9" s="44" t="n">
        <f aca="false">SUM(B5:B8)</f>
        <v>0</v>
      </c>
      <c r="D9" s="44" t="n">
        <f aca="false">SUM(D5:D8)</f>
        <v>0</v>
      </c>
      <c r="E9" s="44" t="str">
        <f aca="false">IF(D9=0,"",C9-D9)</f>
        <v/>
      </c>
      <c r="F9" s="45" t="str">
        <f aca="false">IF(OR($C$16=0,C9=""),"",C9/$C$16)</f>
        <v/>
      </c>
    </row>
    <row r="10" customFormat="false" ht="15" hidden="false" customHeight="false" outlineLevel="0" collapsed="false">
      <c r="A10" s="39" t="s">
        <v>67</v>
      </c>
      <c r="B10" s="40"/>
      <c r="C10" s="40"/>
      <c r="D10" s="40"/>
      <c r="E10" s="40"/>
      <c r="F10" s="40"/>
    </row>
    <row r="11" customFormat="false" ht="15" hidden="false" customHeight="false" outlineLevel="0" collapsed="false">
      <c r="A11" s="41" t="str">
        <f aca="false">IF(Május!A11="","",Május!A11)</f>
        <v>CSED / GYED / GYES</v>
      </c>
      <c r="B11" s="42"/>
      <c r="C11" s="25"/>
      <c r="D11" s="42"/>
      <c r="E11" s="25" t="str">
        <f aca="false">IF(D11=0,"",B11-D11)</f>
        <v/>
      </c>
      <c r="F11" s="30" t="str">
        <f aca="false">IF(OR($C$16=0,B11=""),"",B11/$C$16)</f>
        <v/>
      </c>
    </row>
    <row r="12" customFormat="false" ht="15" hidden="false" customHeight="false" outlineLevel="0" collapsed="false">
      <c r="A12" s="41" t="str">
        <f aca="false">IF(Május!A12="","",Május!A12)</f>
        <v>Családi pótlék</v>
      </c>
      <c r="B12" s="42"/>
      <c r="C12" s="25"/>
      <c r="D12" s="42"/>
      <c r="E12" s="25" t="str">
        <f aca="false">IF(D12=0,"",B12-D12)</f>
        <v/>
      </c>
      <c r="F12" s="30" t="str">
        <f aca="false">IF(OR($C$16=0,B12=""),"",B12/$C$16)</f>
        <v/>
      </c>
    </row>
    <row r="13" customFormat="false" ht="15" hidden="false" customHeight="false" outlineLevel="0" collapsed="false">
      <c r="A13" s="41" t="str">
        <f aca="false">IF(Május!A13="","",Május!A13)</f>
        <v>Egyéb (lakáskiadás, bónusz stb.)</v>
      </c>
      <c r="B13" s="42"/>
      <c r="C13" s="25"/>
      <c r="D13" s="42"/>
      <c r="E13" s="25" t="str">
        <f aca="false">IF(D13=0,"",B13-D13)</f>
        <v/>
      </c>
      <c r="F13" s="30" t="str">
        <f aca="false">IF(OR($C$16=0,B13=""),"",B13/$C$16)</f>
        <v/>
      </c>
    </row>
    <row r="14" customFormat="false" ht="15" hidden="false" customHeight="false" outlineLevel="0" collapsed="false">
      <c r="A14" s="41" t="str">
        <f aca="false">IF(Május!A14="","",Május!A14)</f>
        <v/>
      </c>
      <c r="B14" s="42"/>
      <c r="C14" s="25"/>
      <c r="D14" s="42"/>
      <c r="E14" s="25" t="str">
        <f aca="false">IF(D14=0,"",B14-D14)</f>
        <v/>
      </c>
      <c r="F14" s="30" t="str">
        <f aca="false">IF(OR($C$16=0,B14=""),"",B14/$C$16)</f>
        <v/>
      </c>
    </row>
    <row r="15" customFormat="false" ht="15" hidden="false" customHeight="false" outlineLevel="0" collapsed="false">
      <c r="A15" s="43" t="s">
        <v>71</v>
      </c>
      <c r="B15" s="35"/>
      <c r="C15" s="44" t="n">
        <f aca="false">SUM(B11:B14)</f>
        <v>0</v>
      </c>
      <c r="D15" s="44" t="n">
        <f aca="false">SUM(D11:D14)</f>
        <v>0</v>
      </c>
      <c r="E15" s="44" t="str">
        <f aca="false">IF(D15=0,"",C15-D15)</f>
        <v/>
      </c>
      <c r="F15" s="45" t="str">
        <f aca="false">IF(OR($C$16=0,C15=""),"",C15/$C$16)</f>
        <v/>
      </c>
    </row>
    <row r="16" customFormat="false" ht="15" hidden="false" customHeight="false" outlineLevel="0" collapsed="false">
      <c r="A16" s="26" t="s">
        <v>72</v>
      </c>
      <c r="B16" s="26"/>
      <c r="C16" s="46" t="n">
        <f aca="false">C9+C15</f>
        <v>0</v>
      </c>
      <c r="D16" s="46" t="n">
        <f aca="false">D9+D15</f>
        <v>0</v>
      </c>
      <c r="E16" s="46" t="str">
        <f aca="false">IF(D16=0,"",C16-D16)</f>
        <v/>
      </c>
      <c r="F16" s="47" t="str">
        <f aca="false">IF($C$16=0,"",1)</f>
        <v/>
      </c>
    </row>
    <row r="17" customFormat="false" ht="18" hidden="false" customHeight="true" outlineLevel="0" collapsed="false">
      <c r="A17" s="31" t="s">
        <v>73</v>
      </c>
      <c r="B17" s="31"/>
      <c r="C17" s="31"/>
      <c r="D17" s="31"/>
      <c r="E17" s="31"/>
      <c r="F17" s="31"/>
    </row>
    <row r="18" customFormat="false" ht="15" hidden="false" customHeight="false" outlineLevel="0" collapsed="false">
      <c r="A18" s="41" t="str">
        <f aca="false">IF(Május!A18="","",Május!A18)</f>
        <v>Vésztartalék</v>
      </c>
      <c r="B18" s="42"/>
      <c r="C18" s="25"/>
      <c r="D18" s="42"/>
      <c r="E18" s="25" t="str">
        <f aca="false">IF(D18=0,"",B18-D18)</f>
        <v/>
      </c>
      <c r="F18" s="30" t="str">
        <f aca="false">IF(OR($C$28=0,B18=""),"",B18/$C$28)</f>
        <v/>
      </c>
    </row>
    <row r="19" customFormat="false" ht="15" hidden="false" customHeight="false" outlineLevel="0" collapsed="false">
      <c r="A19" s="41" t="str">
        <f aca="false">IF(Május!A19="","",Május!A19)</f>
        <v>Lakástakarékpénztár</v>
      </c>
      <c r="B19" s="42"/>
      <c r="C19" s="25"/>
      <c r="D19" s="42"/>
      <c r="E19" s="25" t="str">
        <f aca="false">IF(D19=0,"",B19-D19)</f>
        <v/>
      </c>
      <c r="F19" s="30" t="str">
        <f aca="false">IF(OR($C$28=0,B19=""),"",B19/$C$28)</f>
        <v/>
      </c>
    </row>
    <row r="20" customFormat="false" ht="15" hidden="false" customHeight="false" outlineLevel="0" collapsed="false">
      <c r="A20" s="41" t="str">
        <f aca="false">IF(Május!A20="","",Május!A20)</f>
        <v>Általános cél</v>
      </c>
      <c r="B20" s="42"/>
      <c r="C20" s="25"/>
      <c r="D20" s="42"/>
      <c r="E20" s="25" t="str">
        <f aca="false">IF(D20=0,"",B20-D20)</f>
        <v/>
      </c>
      <c r="F20" s="30" t="str">
        <f aca="false">IF(OR($C$28=0,B20=""),"",B20/$C$28)</f>
        <v/>
      </c>
    </row>
    <row r="21" customFormat="false" ht="15" hidden="false" customHeight="false" outlineLevel="0" collapsed="false">
      <c r="A21" s="41" t="str">
        <f aca="false">IF(Május!A21="","",Május!A21)</f>
        <v>Hosszú távú (min. 10 éves, általános célú)</v>
      </c>
      <c r="B21" s="42"/>
      <c r="C21" s="25"/>
      <c r="D21" s="42"/>
      <c r="E21" s="25" t="str">
        <f aca="false">IF(D21=0,"",B21-D21)</f>
        <v/>
      </c>
      <c r="F21" s="30" t="str">
        <f aca="false">IF(OR($C$28=0,B21=""),"",B21/$C$28)</f>
        <v/>
      </c>
    </row>
    <row r="22" customFormat="false" ht="15" hidden="false" customHeight="false" outlineLevel="0" collapsed="false">
      <c r="A22" s="41" t="str">
        <f aca="false">IF(Május!A22="","",Május!A22)</f>
        <v>Hosszú távú (min. 10 éves, lakás célú)</v>
      </c>
      <c r="B22" s="42"/>
      <c r="C22" s="25"/>
      <c r="D22" s="42"/>
      <c r="E22" s="25" t="str">
        <f aca="false">IF(D22=0,"",B22-D22)</f>
        <v/>
      </c>
      <c r="F22" s="30" t="str">
        <f aca="false">IF(OR($C$28=0,B22=""),"",B22/$C$28)</f>
        <v/>
      </c>
    </row>
    <row r="23" customFormat="false" ht="15" hidden="false" customHeight="false" outlineLevel="0" collapsed="false">
      <c r="A23" s="41" t="str">
        <f aca="false">IF(Május!A23="","",Május!A23)</f>
        <v>Hosszú távú (min. 10 éves, gyermek jövője célú)</v>
      </c>
      <c r="B23" s="42"/>
      <c r="C23" s="25"/>
      <c r="D23" s="42"/>
      <c r="E23" s="25" t="str">
        <f aca="false">IF(D23=0,"",B23-D23)</f>
        <v/>
      </c>
      <c r="F23" s="30" t="str">
        <f aca="false">IF(OR($C$28=0,B23=""),"",B23/$C$28)</f>
        <v/>
      </c>
    </row>
    <row r="24" customFormat="false" ht="15" hidden="false" customHeight="false" outlineLevel="0" collapsed="false">
      <c r="A24" s="41" t="str">
        <f aca="false">IF(Május!A24="","",Május!A24)</f>
        <v>Hosszú távú (min. 15 éves, nyugdíj célú)</v>
      </c>
      <c r="B24" s="42"/>
      <c r="C24" s="25"/>
      <c r="D24" s="42"/>
      <c r="E24" s="25" t="str">
        <f aca="false">IF(D24=0,"",B24-D24)</f>
        <v/>
      </c>
      <c r="F24" s="30" t="str">
        <f aca="false">IF(OR($C$28=0,B24=""),"",B24/$C$28)</f>
        <v/>
      </c>
    </row>
    <row r="25" customFormat="false" ht="15" hidden="false" customHeight="false" outlineLevel="0" collapsed="false">
      <c r="A25" s="41" t="str">
        <f aca="false">IF(Május!A25="","",Május!A25)</f>
        <v>Nyugdíjbiztosítás</v>
      </c>
      <c r="B25" s="42"/>
      <c r="C25" s="25"/>
      <c r="D25" s="42"/>
      <c r="E25" s="25" t="str">
        <f aca="false">IF(D25=0,"",B25-D25)</f>
        <v/>
      </c>
      <c r="F25" s="30" t="str">
        <f aca="false">IF(OR($C$28=0,B25=""),"",B25/$C$28)</f>
        <v/>
      </c>
    </row>
    <row r="26" customFormat="false" ht="15" hidden="false" customHeight="false" outlineLevel="0" collapsed="false">
      <c r="A26" s="41" t="str">
        <f aca="false">IF(Május!A26="","",Május!A26)</f>
        <v/>
      </c>
      <c r="B26" s="42"/>
      <c r="C26" s="25"/>
      <c r="D26" s="42"/>
      <c r="E26" s="25" t="str">
        <f aca="false">IF(D26=0,"",B26-D26)</f>
        <v/>
      </c>
      <c r="F26" s="30" t="str">
        <f aca="false">IF(OR($C$28=0,B26=""),"",B26/$C$28)</f>
        <v/>
      </c>
    </row>
    <row r="27" customFormat="false" ht="15" hidden="false" customHeight="false" outlineLevel="0" collapsed="false">
      <c r="A27" s="41" t="str">
        <f aca="false">IF(Május!A27="","",Május!A27)</f>
        <v/>
      </c>
      <c r="B27" s="42"/>
      <c r="C27" s="25"/>
      <c r="D27" s="42"/>
      <c r="E27" s="25" t="str">
        <f aca="false">IF(D27=0,"",B27-D27)</f>
        <v/>
      </c>
      <c r="F27" s="30" t="str">
        <f aca="false">IF(OR($C$28=0,B27=""),"",B27/$C$28)</f>
        <v/>
      </c>
    </row>
    <row r="28" customFormat="false" ht="15" hidden="false" customHeight="false" outlineLevel="0" collapsed="false">
      <c r="A28" s="31" t="s">
        <v>82</v>
      </c>
      <c r="B28" s="31"/>
      <c r="C28" s="48" t="n">
        <f aca="false">SUM(B18:B27)</f>
        <v>0</v>
      </c>
      <c r="D28" s="48" t="n">
        <f aca="false">SUM(D18:D27)</f>
        <v>0</v>
      </c>
      <c r="E28" s="48" t="str">
        <f aca="false">IF(D28=0,"",C28-D28)</f>
        <v/>
      </c>
      <c r="F28" s="49" t="str">
        <f aca="false">IF($C$16=0,"",C28/$C$16)</f>
        <v/>
      </c>
    </row>
    <row r="29" customFormat="false" ht="18" hidden="false" customHeight="true" outlineLevel="0" collapsed="false">
      <c r="A29" s="33" t="s">
        <v>83</v>
      </c>
      <c r="B29" s="33"/>
      <c r="C29" s="33"/>
      <c r="D29" s="33"/>
      <c r="E29" s="33"/>
      <c r="F29" s="33"/>
    </row>
    <row r="30" customFormat="false" ht="15" hidden="false" customHeight="false" outlineLevel="0" collapsed="false">
      <c r="A30" s="39" t="s">
        <v>43</v>
      </c>
      <c r="B30" s="40"/>
      <c r="C30" s="40"/>
      <c r="D30" s="40"/>
      <c r="E30" s="40"/>
      <c r="F30" s="40"/>
    </row>
    <row r="31" customFormat="false" ht="15" hidden="false" customHeight="false" outlineLevel="0" collapsed="false">
      <c r="A31" s="41" t="str">
        <f aca="false">IF(Május!A31="","",Május!A31)</f>
        <v>Albérleti díj / lakáshitel</v>
      </c>
      <c r="B31" s="42"/>
      <c r="C31" s="25"/>
      <c r="D31" s="42"/>
      <c r="E31" s="25" t="str">
        <f aca="false">IF(D31=0,"",D31-B31)</f>
        <v/>
      </c>
      <c r="F31" s="30" t="str">
        <f aca="false">IF(OR($C$118=0,B31=""),"",B31/$C$118)</f>
        <v/>
      </c>
    </row>
    <row r="32" customFormat="false" ht="15" hidden="false" customHeight="false" outlineLevel="0" collapsed="false">
      <c r="A32" s="41" t="str">
        <f aca="false">IF(Május!A32="","",Május!A32)</f>
        <v>Rezsi (közművek, közös költség)</v>
      </c>
      <c r="B32" s="42"/>
      <c r="C32" s="25"/>
      <c r="D32" s="42"/>
      <c r="E32" s="25" t="str">
        <f aca="false">IF(D32=0,"",D32-B32)</f>
        <v/>
      </c>
      <c r="F32" s="30" t="str">
        <f aca="false">IF(OR($C$118=0,B32=""),"",B32/$C$118)</f>
        <v/>
      </c>
    </row>
    <row r="33" customFormat="false" ht="15" hidden="false" customHeight="false" outlineLevel="0" collapsed="false">
      <c r="A33" s="41" t="str">
        <f aca="false">IF(Május!A33="","",Május!A33)</f>
        <v>Telefon, internet, digitális előfizetések</v>
      </c>
      <c r="B33" s="42"/>
      <c r="C33" s="25"/>
      <c r="D33" s="42"/>
      <c r="E33" s="25" t="str">
        <f aca="false">IF(D33=0,"",D33-B33)</f>
        <v/>
      </c>
      <c r="F33" s="30" t="str">
        <f aca="false">IF(OR($C$118=0,B33=""),"",B33/$C$118)</f>
        <v/>
      </c>
    </row>
    <row r="34" customFormat="false" ht="15" hidden="false" customHeight="false" outlineLevel="0" collapsed="false">
      <c r="A34" s="41" t="str">
        <f aca="false">IF(Május!A34="","",Május!A34)</f>
        <v/>
      </c>
      <c r="B34" s="42"/>
      <c r="C34" s="25"/>
      <c r="D34" s="42"/>
      <c r="E34" s="25" t="str">
        <f aca="false">IF(D34=0,"",D34-B34)</f>
        <v/>
      </c>
      <c r="F34" s="30" t="str">
        <f aca="false">IF(OR($C$118=0,B34=""),"",B34/$C$118)</f>
        <v/>
      </c>
    </row>
    <row r="35" customFormat="false" ht="15" hidden="false" customHeight="false" outlineLevel="0" collapsed="false">
      <c r="A35" s="43" t="s">
        <v>87</v>
      </c>
      <c r="B35" s="35"/>
      <c r="C35" s="44" t="n">
        <f aca="false">SUM(B31:B34)</f>
        <v>0</v>
      </c>
      <c r="D35" s="44" t="n">
        <f aca="false">SUM(D31:D34)</f>
        <v>0</v>
      </c>
      <c r="E35" s="44" t="str">
        <f aca="false">IF(D35=0,"",D35-C35)</f>
        <v/>
      </c>
      <c r="F35" s="45" t="str">
        <f aca="false">IF(OR($C$118=0,C35=""),"",C35/$C$118)</f>
        <v/>
      </c>
    </row>
    <row r="36" customFormat="false" ht="15" hidden="false" customHeight="false" outlineLevel="0" collapsed="false">
      <c r="A36" s="39" t="s">
        <v>44</v>
      </c>
      <c r="B36" s="40"/>
      <c r="C36" s="40"/>
      <c r="D36" s="40"/>
      <c r="E36" s="40"/>
      <c r="F36" s="40"/>
    </row>
    <row r="37" customFormat="false" ht="15" hidden="false" customHeight="false" outlineLevel="0" collapsed="false">
      <c r="A37" s="41" t="str">
        <f aca="false">IF(Május!A37="","",Május!A37)</f>
        <v>Nagybevásárlások</v>
      </c>
      <c r="B37" s="42"/>
      <c r="C37" s="25"/>
      <c r="D37" s="42"/>
      <c r="E37" s="25" t="str">
        <f aca="false">IF(D37=0,"",D37-B37)</f>
        <v/>
      </c>
      <c r="F37" s="30" t="str">
        <f aca="false">IF(OR($C$118=0,B37=""),"",B37/$C$118)</f>
        <v/>
      </c>
    </row>
    <row r="38" customFormat="false" ht="15" hidden="false" customHeight="false" outlineLevel="0" collapsed="false">
      <c r="A38" s="41" t="str">
        <f aca="false">IF(Május!A38="","",Május!A38)</f>
        <v>Drogéria</v>
      </c>
      <c r="B38" s="42"/>
      <c r="C38" s="25"/>
      <c r="D38" s="42"/>
      <c r="E38" s="25" t="str">
        <f aca="false">IF(D38=0,"",D38-B38)</f>
        <v/>
      </c>
      <c r="F38" s="30" t="str">
        <f aca="false">IF(OR($C$118=0,B38=""),"",B38/$C$118)</f>
        <v/>
      </c>
    </row>
    <row r="39" customFormat="false" ht="15" hidden="false" customHeight="false" outlineLevel="0" collapsed="false">
      <c r="A39" s="41" t="str">
        <f aca="false">IF(Május!A39="","",Május!A39)</f>
        <v>Ételrendelés</v>
      </c>
      <c r="B39" s="42"/>
      <c r="C39" s="25"/>
      <c r="D39" s="42"/>
      <c r="E39" s="25" t="str">
        <f aca="false">IF(D39=0,"",D39-B39)</f>
        <v/>
      </c>
      <c r="F39" s="30" t="str">
        <f aca="false">IF(OR($C$118=0,B39=""),"",B39/$C$118)</f>
        <v/>
      </c>
    </row>
    <row r="40" customFormat="false" ht="15" hidden="false" customHeight="false" outlineLevel="0" collapsed="false">
      <c r="A40" s="41" t="str">
        <f aca="false">IF(Május!A40="","",Május!A40)</f>
        <v>Egyéb élelmiszer, bevásárlás</v>
      </c>
      <c r="B40" s="42"/>
      <c r="C40" s="25"/>
      <c r="D40" s="42"/>
      <c r="E40" s="25" t="str">
        <f aca="false">IF(D40=0,"",D40-B40)</f>
        <v/>
      </c>
      <c r="F40" s="30" t="str">
        <f aca="false">IF(OR($C$118=0,B40=""),"",B40/$C$118)</f>
        <v/>
      </c>
    </row>
    <row r="41" customFormat="false" ht="15" hidden="false" customHeight="false" outlineLevel="0" collapsed="false">
      <c r="A41" s="41" t="str">
        <f aca="false">IF(Május!A41="","",Május!A41)</f>
        <v/>
      </c>
      <c r="B41" s="42"/>
      <c r="C41" s="25"/>
      <c r="D41" s="42"/>
      <c r="E41" s="25" t="str">
        <f aca="false">IF(D41=0,"",D41-B41)</f>
        <v/>
      </c>
      <c r="F41" s="30" t="str">
        <f aca="false">IF(OR($C$118=0,B41=""),"",B41/$C$118)</f>
        <v/>
      </c>
    </row>
    <row r="42" customFormat="false" ht="15" hidden="false" customHeight="false" outlineLevel="0" collapsed="false">
      <c r="A42" s="43" t="s">
        <v>92</v>
      </c>
      <c r="B42" s="35"/>
      <c r="C42" s="44" t="n">
        <f aca="false">SUM(B37:B41)</f>
        <v>0</v>
      </c>
      <c r="D42" s="44" t="n">
        <f aca="false">SUM(D37:D41)</f>
        <v>0</v>
      </c>
      <c r="E42" s="44" t="str">
        <f aca="false">IF(D42=0,"",D42-C42)</f>
        <v/>
      </c>
      <c r="F42" s="45" t="str">
        <f aca="false">IF(OR($C$118=0,C42=""),"",C42/$C$118)</f>
        <v/>
      </c>
    </row>
    <row r="43" customFormat="false" ht="15" hidden="false" customHeight="false" outlineLevel="0" collapsed="false">
      <c r="A43" s="39" t="s">
        <v>45</v>
      </c>
      <c r="B43" s="40"/>
      <c r="C43" s="40"/>
      <c r="D43" s="40"/>
      <c r="E43" s="40"/>
      <c r="F43" s="40"/>
    </row>
    <row r="44" customFormat="false" ht="15" hidden="false" customHeight="false" outlineLevel="0" collapsed="false">
      <c r="A44" s="41" t="str">
        <f aca="false">IF(Május!A44="","",Május!A44)</f>
        <v>Lakásbiztosítás</v>
      </c>
      <c r="B44" s="42"/>
      <c r="C44" s="25"/>
      <c r="D44" s="42"/>
      <c r="E44" s="25" t="str">
        <f aca="false">IF(D44=0,"",D44-B44)</f>
        <v/>
      </c>
      <c r="F44" s="30" t="str">
        <f aca="false">IF(OR($C$118=0,B44=""),"",B44/$C$118)</f>
        <v/>
      </c>
    </row>
    <row r="45" customFormat="false" ht="15" hidden="false" customHeight="false" outlineLevel="0" collapsed="false">
      <c r="A45" s="41" t="str">
        <f aca="false">IF(Május!A45="","",Május!A45)</f>
        <v>Életbiztosítás</v>
      </c>
      <c r="B45" s="42"/>
      <c r="C45" s="25"/>
      <c r="D45" s="42"/>
      <c r="E45" s="25" t="str">
        <f aca="false">IF(D45=0,"",D45-B45)</f>
        <v/>
      </c>
      <c r="F45" s="30" t="str">
        <f aca="false">IF(OR($C$118=0,B45=""),"",B45/$C$118)</f>
        <v/>
      </c>
    </row>
    <row r="46" customFormat="false" ht="15" hidden="false" customHeight="false" outlineLevel="0" collapsed="false">
      <c r="A46" s="41" t="str">
        <f aca="false">IF(Május!A46="","",Május!A46)</f>
        <v>Baleset- és betegségbiztosítás</v>
      </c>
      <c r="B46" s="42"/>
      <c r="C46" s="25"/>
      <c r="D46" s="42"/>
      <c r="E46" s="25" t="str">
        <f aca="false">IF(D46=0,"",D46-B46)</f>
        <v/>
      </c>
      <c r="F46" s="30" t="str">
        <f aca="false">IF(OR($C$118=0,B46=""),"",B46/$C$118)</f>
        <v/>
      </c>
    </row>
    <row r="47" customFormat="false" ht="15" hidden="false" customHeight="false" outlineLevel="0" collapsed="false">
      <c r="A47" s="41" t="str">
        <f aca="false">IF(Május!A47="","",Május!A47)</f>
        <v>Egészségbiztosítás</v>
      </c>
      <c r="B47" s="42"/>
      <c r="C47" s="25"/>
      <c r="D47" s="42"/>
      <c r="E47" s="25" t="str">
        <f aca="false">IF(D47=0,"",D47-B47)</f>
        <v/>
      </c>
      <c r="F47" s="30" t="str">
        <f aca="false">IF(OR($C$118=0,B47=""),"",B47/$C$118)</f>
        <v/>
      </c>
    </row>
    <row r="48" customFormat="false" ht="15" hidden="false" customHeight="false" outlineLevel="0" collapsed="false">
      <c r="A48" s="41" t="str">
        <f aca="false">IF(Május!A48="","",Május!A48)</f>
        <v>Hiteltörlesztés</v>
      </c>
      <c r="B48" s="42"/>
      <c r="C48" s="25"/>
      <c r="D48" s="42"/>
      <c r="E48" s="25" t="str">
        <f aca="false">IF(D48=0,"",D48-B48)</f>
        <v/>
      </c>
      <c r="F48" s="30" t="str">
        <f aca="false">IF(OR($C$118=0,B48=""),"",B48/$C$118)</f>
        <v/>
      </c>
    </row>
    <row r="49" customFormat="false" ht="15" hidden="false" customHeight="false" outlineLevel="0" collapsed="false">
      <c r="A49" s="41" t="str">
        <f aca="false">IF(Május!A49="","",Május!A49)</f>
        <v>Egyéb szerződés</v>
      </c>
      <c r="B49" s="42"/>
      <c r="C49" s="25"/>
      <c r="D49" s="42"/>
      <c r="E49" s="25" t="str">
        <f aca="false">IF(D49=0,"",D49-B49)</f>
        <v/>
      </c>
      <c r="F49" s="30" t="str">
        <f aca="false">IF(OR($C$118=0,B49=""),"",B49/$C$118)</f>
        <v/>
      </c>
    </row>
    <row r="50" customFormat="false" ht="15" hidden="false" customHeight="false" outlineLevel="0" collapsed="false">
      <c r="A50" s="41" t="str">
        <f aca="false">IF(Május!A50="","",Május!A50)</f>
        <v/>
      </c>
      <c r="B50" s="42"/>
      <c r="C50" s="25"/>
      <c r="D50" s="42"/>
      <c r="E50" s="25" t="str">
        <f aca="false">IF(D50=0,"",D50-B50)</f>
        <v/>
      </c>
      <c r="F50" s="30" t="str">
        <f aca="false">IF(OR($C$118=0,B50=""),"",B50/$C$118)</f>
        <v/>
      </c>
    </row>
    <row r="51" customFormat="false" ht="15" hidden="false" customHeight="false" outlineLevel="0" collapsed="false">
      <c r="A51" s="41" t="str">
        <f aca="false">IF(Május!A51="","",Május!A51)</f>
        <v/>
      </c>
      <c r="B51" s="42"/>
      <c r="C51" s="25"/>
      <c r="D51" s="42"/>
      <c r="E51" s="25" t="str">
        <f aca="false">IF(D51=0,"",D51-B51)</f>
        <v/>
      </c>
      <c r="F51" s="30" t="str">
        <f aca="false">IF(OR($C$118=0,B51=""),"",B51/$C$118)</f>
        <v/>
      </c>
    </row>
    <row r="52" customFormat="false" ht="15" hidden="false" customHeight="false" outlineLevel="0" collapsed="false">
      <c r="A52" s="43" t="s">
        <v>99</v>
      </c>
      <c r="B52" s="35"/>
      <c r="C52" s="44" t="n">
        <f aca="false">SUM(B44:B51)</f>
        <v>0</v>
      </c>
      <c r="D52" s="44" t="n">
        <f aca="false">SUM(D44:D51)</f>
        <v>0</v>
      </c>
      <c r="E52" s="44" t="str">
        <f aca="false">IF(D52=0,"",D52-C52)</f>
        <v/>
      </c>
      <c r="F52" s="45" t="str">
        <f aca="false">IF(OR($C$118=0,C52=""),"",C52/$C$118)</f>
        <v/>
      </c>
    </row>
    <row r="53" customFormat="false" ht="15" hidden="false" customHeight="false" outlineLevel="0" collapsed="false">
      <c r="A53" s="39" t="s">
        <v>46</v>
      </c>
      <c r="B53" s="40"/>
      <c r="C53" s="40"/>
      <c r="D53" s="40"/>
      <c r="E53" s="40"/>
      <c r="F53" s="40"/>
    </row>
    <row r="54" customFormat="false" ht="15" hidden="false" customHeight="false" outlineLevel="0" collapsed="false">
      <c r="A54" s="41" t="str">
        <f aca="false">IF(Május!A54="","",Május!A54)</f>
        <v>Üzemanyag, elektromos töltés</v>
      </c>
      <c r="B54" s="42"/>
      <c r="C54" s="25"/>
      <c r="D54" s="42"/>
      <c r="E54" s="25" t="str">
        <f aca="false">IF(D54=0,"",D54-B54)</f>
        <v/>
      </c>
      <c r="F54" s="30" t="str">
        <f aca="false">IF(OR($C$118=0,B54=""),"",B54/$C$118)</f>
        <v/>
      </c>
    </row>
    <row r="55" customFormat="false" ht="15" hidden="false" customHeight="false" outlineLevel="0" collapsed="false">
      <c r="A55" s="41" t="str">
        <f aca="false">IF(Május!A55="","",Május!A55)</f>
        <v>Parkolás, útdíj, autópálya-matrica</v>
      </c>
      <c r="B55" s="42"/>
      <c r="C55" s="25"/>
      <c r="D55" s="42"/>
      <c r="E55" s="25" t="str">
        <f aca="false">IF(D55=0,"",D55-B55)</f>
        <v/>
      </c>
      <c r="F55" s="30" t="str">
        <f aca="false">IF(OR($C$118=0,B55=""),"",B55/$C$118)</f>
        <v/>
      </c>
    </row>
    <row r="56" customFormat="false" ht="15" hidden="false" customHeight="false" outlineLevel="0" collapsed="false">
      <c r="A56" s="41" t="str">
        <f aca="false">IF(Május!A56="","",Május!A56)</f>
        <v>Szerviz, karbantartás, gumicsere</v>
      </c>
      <c r="B56" s="42"/>
      <c r="C56" s="25"/>
      <c r="D56" s="42"/>
      <c r="E56" s="25" t="str">
        <f aca="false">IF(D56=0,"",D56-B56)</f>
        <v/>
      </c>
      <c r="F56" s="30" t="str">
        <f aca="false">IF(OR($C$118=0,B56=""),"",B56/$C$118)</f>
        <v/>
      </c>
    </row>
    <row r="57" customFormat="false" ht="15" hidden="false" customHeight="false" outlineLevel="0" collapsed="false">
      <c r="A57" s="41" t="str">
        <f aca="false">IF(Május!A57="","",Május!A57)</f>
        <v>KGFB (kötelező biztosítás)</v>
      </c>
      <c r="B57" s="42"/>
      <c r="C57" s="25"/>
      <c r="D57" s="42"/>
      <c r="E57" s="25" t="str">
        <f aca="false">IF(D57=0,"",D57-B57)</f>
        <v/>
      </c>
      <c r="F57" s="30" t="str">
        <f aca="false">IF(OR($C$118=0,B57=""),"",B57/$C$118)</f>
        <v/>
      </c>
    </row>
    <row r="58" customFormat="false" ht="15" hidden="false" customHeight="false" outlineLevel="0" collapsed="false">
      <c r="A58" s="41" t="str">
        <f aca="false">IF(Május!A58="","",Május!A58)</f>
        <v>CASCO</v>
      </c>
      <c r="B58" s="42"/>
      <c r="C58" s="25"/>
      <c r="D58" s="42"/>
      <c r="E58" s="25" t="str">
        <f aca="false">IF(D58=0,"",D58-B58)</f>
        <v/>
      </c>
      <c r="F58" s="30" t="str">
        <f aca="false">IF(OR($C$118=0,B58=""),"",B58/$C$118)</f>
        <v/>
      </c>
    </row>
    <row r="59" customFormat="false" ht="15" hidden="false" customHeight="false" outlineLevel="0" collapsed="false">
      <c r="A59" s="41" t="str">
        <f aca="false">IF(Május!A59="","",Május!A59)</f>
        <v>Gépjárműadó</v>
      </c>
      <c r="B59" s="42"/>
      <c r="C59" s="25"/>
      <c r="D59" s="42"/>
      <c r="E59" s="25" t="str">
        <f aca="false">IF(D59=0,"",D59-B59)</f>
        <v/>
      </c>
      <c r="F59" s="30" t="str">
        <f aca="false">IF(OR($C$118=0,B59=""),"",B59/$C$118)</f>
        <v/>
      </c>
    </row>
    <row r="60" customFormat="false" ht="15" hidden="false" customHeight="false" outlineLevel="0" collapsed="false">
      <c r="A60" s="41" t="str">
        <f aca="false">IF(Május!A60="","",Május!A60)</f>
        <v>Autóhitel, lízing részlet</v>
      </c>
      <c r="B60" s="42"/>
      <c r="C60" s="25"/>
      <c r="D60" s="42"/>
      <c r="E60" s="25" t="str">
        <f aca="false">IF(D60=0,"",D60-B60)</f>
        <v/>
      </c>
      <c r="F60" s="30" t="str">
        <f aca="false">IF(OR($C$118=0,B60=""),"",B60/$C$118)</f>
        <v/>
      </c>
    </row>
    <row r="61" customFormat="false" ht="15" hidden="false" customHeight="false" outlineLevel="0" collapsed="false">
      <c r="A61" s="41" t="str">
        <f aca="false">IF(Május!A61="","",Május!A61)</f>
        <v>Autómosás, egyéb autós költség</v>
      </c>
      <c r="B61" s="42"/>
      <c r="C61" s="25"/>
      <c r="D61" s="42"/>
      <c r="E61" s="25" t="str">
        <f aca="false">IF(D61=0,"",D61-B61)</f>
        <v/>
      </c>
      <c r="F61" s="30" t="str">
        <f aca="false">IF(OR($C$118=0,B61=""),"",B61/$C$118)</f>
        <v/>
      </c>
    </row>
    <row r="62" customFormat="false" ht="15" hidden="false" customHeight="false" outlineLevel="0" collapsed="false">
      <c r="A62" s="41" t="str">
        <f aca="false">IF(Május!A62="","",Május!A62)</f>
        <v>Tömegközlekedés, bérlet</v>
      </c>
      <c r="B62" s="42"/>
      <c r="C62" s="25"/>
      <c r="D62" s="42"/>
      <c r="E62" s="25" t="str">
        <f aca="false">IF(D62=0,"",D62-B62)</f>
        <v/>
      </c>
      <c r="F62" s="30" t="str">
        <f aca="false">IF(OR($C$118=0,B62=""),"",B62/$C$118)</f>
        <v/>
      </c>
    </row>
    <row r="63" customFormat="false" ht="15" hidden="false" customHeight="false" outlineLevel="0" collapsed="false">
      <c r="A63" s="41" t="str">
        <f aca="false">IF(Május!A63="","",Május!A63)</f>
        <v>Taxi, roller, bicikli, közösségi közlekedés</v>
      </c>
      <c r="B63" s="42"/>
      <c r="C63" s="25"/>
      <c r="D63" s="42"/>
      <c r="E63" s="25" t="str">
        <f aca="false">IF(D63=0,"",D63-B63)</f>
        <v/>
      </c>
      <c r="F63" s="30" t="str">
        <f aca="false">IF(OR($C$118=0,B63=""),"",B63/$C$118)</f>
        <v/>
      </c>
    </row>
    <row r="64" customFormat="false" ht="15" hidden="false" customHeight="false" outlineLevel="0" collapsed="false">
      <c r="A64" s="41" t="str">
        <f aca="false">IF(Május!A64="","",Május!A64)</f>
        <v/>
      </c>
      <c r="B64" s="42"/>
      <c r="C64" s="25"/>
      <c r="D64" s="42"/>
      <c r="E64" s="25" t="str">
        <f aca="false">IF(D64=0,"",D64-B64)</f>
        <v/>
      </c>
      <c r="F64" s="30" t="str">
        <f aca="false">IF(OR($C$118=0,B64=""),"",B64/$C$118)</f>
        <v/>
      </c>
    </row>
    <row r="65" customFormat="false" ht="15" hidden="false" customHeight="false" outlineLevel="0" collapsed="false">
      <c r="A65" s="41" t="str">
        <f aca="false">IF(Május!A65="","",Május!A65)</f>
        <v/>
      </c>
      <c r="B65" s="42"/>
      <c r="C65" s="25"/>
      <c r="D65" s="42"/>
      <c r="E65" s="25" t="str">
        <f aca="false">IF(D65=0,"",D65-B65)</f>
        <v/>
      </c>
      <c r="F65" s="30" t="str">
        <f aca="false">IF(OR($C$118=0,B65=""),"",B65/$C$118)</f>
        <v/>
      </c>
    </row>
    <row r="66" customFormat="false" ht="15" hidden="false" customHeight="false" outlineLevel="0" collapsed="false">
      <c r="A66" s="43" t="s">
        <v>110</v>
      </c>
      <c r="B66" s="35"/>
      <c r="C66" s="44" t="n">
        <f aca="false">SUM(B54:B65)</f>
        <v>0</v>
      </c>
      <c r="D66" s="44" t="n">
        <f aca="false">SUM(D54:D65)</f>
        <v>0</v>
      </c>
      <c r="E66" s="44" t="str">
        <f aca="false">IF(D66=0,"",D66-C66)</f>
        <v/>
      </c>
      <c r="F66" s="45" t="str">
        <f aca="false">IF(OR($C$118=0,C66=""),"",C66/$C$118)</f>
        <v/>
      </c>
    </row>
    <row r="67" customFormat="false" ht="15" hidden="false" customHeight="false" outlineLevel="0" collapsed="false">
      <c r="A67" s="39" t="s">
        <v>47</v>
      </c>
      <c r="B67" s="40"/>
      <c r="C67" s="40"/>
      <c r="D67" s="40"/>
      <c r="E67" s="40"/>
      <c r="F67" s="40"/>
    </row>
    <row r="68" customFormat="false" ht="15" hidden="false" customHeight="false" outlineLevel="0" collapsed="false">
      <c r="A68" s="41" t="str">
        <f aca="false">IF(Május!A68="","",Május!A68)</f>
        <v>Gyerek ruha, cipő</v>
      </c>
      <c r="B68" s="42"/>
      <c r="C68" s="25"/>
      <c r="D68" s="42"/>
      <c r="E68" s="25" t="str">
        <f aca="false">IF(D68=0,"",D68-B68)</f>
        <v/>
      </c>
      <c r="F68" s="30" t="str">
        <f aca="false">IF(OR($C$118=0,B68=""),"",B68/$C$118)</f>
        <v/>
      </c>
    </row>
    <row r="69" customFormat="false" ht="15" hidden="false" customHeight="false" outlineLevel="0" collapsed="false">
      <c r="A69" s="41" t="str">
        <f aca="false">IF(Május!A69="","",Május!A69)</f>
        <v>Gyerek étkeztetés (menza)</v>
      </c>
      <c r="B69" s="42"/>
      <c r="C69" s="25"/>
      <c r="D69" s="42"/>
      <c r="E69" s="25" t="str">
        <f aca="false">IF(D69=0,"",D69-B69)</f>
        <v/>
      </c>
      <c r="F69" s="30" t="str">
        <f aca="false">IF(OR($C$118=0,B69=""),"",B69/$C$118)</f>
        <v/>
      </c>
    </row>
    <row r="70" customFormat="false" ht="15" hidden="false" customHeight="false" outlineLevel="0" collapsed="false">
      <c r="A70" s="41" t="str">
        <f aca="false">IF(Május!A70="","",Május!A70)</f>
        <v>Bölcsőde, óvoda, iskola díjai</v>
      </c>
      <c r="B70" s="42"/>
      <c r="C70" s="25"/>
      <c r="D70" s="42"/>
      <c r="E70" s="25" t="str">
        <f aca="false">IF(D70=0,"",D70-B70)</f>
        <v/>
      </c>
      <c r="F70" s="30" t="str">
        <f aca="false">IF(OR($C$118=0,B70=""),"",B70/$C$118)</f>
        <v/>
      </c>
    </row>
    <row r="71" customFormat="false" ht="15" hidden="false" customHeight="false" outlineLevel="0" collapsed="false">
      <c r="A71" s="41" t="str">
        <f aca="false">IF(Május!A71="","",Május!A71)</f>
        <v>Tankönyv, tanszer</v>
      </c>
      <c r="B71" s="42"/>
      <c r="C71" s="25"/>
      <c r="D71" s="42"/>
      <c r="E71" s="25" t="str">
        <f aca="false">IF(D71=0,"",D71-B71)</f>
        <v/>
      </c>
      <c r="F71" s="30" t="str">
        <f aca="false">IF(OR($C$118=0,B71=""),"",B71/$C$118)</f>
        <v/>
      </c>
    </row>
    <row r="72" customFormat="false" ht="15" hidden="false" customHeight="false" outlineLevel="0" collapsed="false">
      <c r="A72" s="41" t="str">
        <f aca="false">IF(Május!A72="","",Május!A72)</f>
        <v>Különórák, edzések</v>
      </c>
      <c r="B72" s="42"/>
      <c r="C72" s="25"/>
      <c r="D72" s="42"/>
      <c r="E72" s="25" t="str">
        <f aca="false">IF(D72=0,"",D72-B72)</f>
        <v/>
      </c>
      <c r="F72" s="30" t="str">
        <f aca="false">IF(OR($C$118=0,B72=""),"",B72/$C$118)</f>
        <v/>
      </c>
    </row>
    <row r="73" customFormat="false" ht="15" hidden="false" customHeight="false" outlineLevel="0" collapsed="false">
      <c r="A73" s="41" t="str">
        <f aca="false">IF(Május!A73="","",Május!A73)</f>
        <v>Magánóra, korrepetálás</v>
      </c>
      <c r="B73" s="42"/>
      <c r="C73" s="25"/>
      <c r="D73" s="42"/>
      <c r="E73" s="25" t="str">
        <f aca="false">IF(D73=0,"",D73-B73)</f>
        <v/>
      </c>
      <c r="F73" s="30" t="str">
        <f aca="false">IF(OR($C$118=0,B73=""),"",B73/$C$118)</f>
        <v/>
      </c>
    </row>
    <row r="74" customFormat="false" ht="15" hidden="false" customHeight="false" outlineLevel="0" collapsed="false">
      <c r="A74" s="41" t="str">
        <f aca="false">IF(Május!A74="","",Május!A74)</f>
        <v>Zsebpénz</v>
      </c>
      <c r="B74" s="42"/>
      <c r="C74" s="25"/>
      <c r="D74" s="42"/>
      <c r="E74" s="25" t="str">
        <f aca="false">IF(D74=0,"",D74-B74)</f>
        <v/>
      </c>
      <c r="F74" s="30" t="str">
        <f aca="false">IF(OR($C$118=0,B74=""),"",B74/$C$118)</f>
        <v/>
      </c>
    </row>
    <row r="75" customFormat="false" ht="15" hidden="false" customHeight="false" outlineLevel="0" collapsed="false">
      <c r="A75" s="41" t="str">
        <f aca="false">IF(Május!A75="","",Május!A75)</f>
        <v>Játékok, szórakozás</v>
      </c>
      <c r="B75" s="42"/>
      <c r="C75" s="25"/>
      <c r="D75" s="42"/>
      <c r="E75" s="25" t="str">
        <f aca="false">IF(D75=0,"",D75-B75)</f>
        <v/>
      </c>
      <c r="F75" s="30" t="str">
        <f aca="false">IF(OR($C$118=0,B75=""),"",B75/$C$118)</f>
        <v/>
      </c>
    </row>
    <row r="76" customFormat="false" ht="15" hidden="false" customHeight="false" outlineLevel="0" collapsed="false">
      <c r="A76" s="41" t="str">
        <f aca="false">IF(Május!A76="","",Május!A76)</f>
        <v/>
      </c>
      <c r="B76" s="42"/>
      <c r="C76" s="25"/>
      <c r="D76" s="42"/>
      <c r="E76" s="25" t="str">
        <f aca="false">IF(D76=0,"",D76-B76)</f>
        <v/>
      </c>
      <c r="F76" s="30" t="str">
        <f aca="false">IF(OR($C$118=0,B76=""),"",B76/$C$118)</f>
        <v/>
      </c>
    </row>
    <row r="77" customFormat="false" ht="15" hidden="false" customHeight="false" outlineLevel="0" collapsed="false">
      <c r="A77" s="41" t="str">
        <f aca="false">IF(Május!A77="","",Május!A77)</f>
        <v/>
      </c>
      <c r="B77" s="42"/>
      <c r="C77" s="25"/>
      <c r="D77" s="42"/>
      <c r="E77" s="25" t="str">
        <f aca="false">IF(D77=0,"",D77-B77)</f>
        <v/>
      </c>
      <c r="F77" s="30" t="str">
        <f aca="false">IF(OR($C$118=0,B77=""),"",B77/$C$118)</f>
        <v/>
      </c>
    </row>
    <row r="78" customFormat="false" ht="15" hidden="false" customHeight="false" outlineLevel="0" collapsed="false">
      <c r="A78" s="41" t="str">
        <f aca="false">IF(Május!A78="","",Május!A78)</f>
        <v/>
      </c>
      <c r="B78" s="42"/>
      <c r="C78" s="25"/>
      <c r="D78" s="42"/>
      <c r="E78" s="25" t="str">
        <f aca="false">IF(D78=0,"",D78-B78)</f>
        <v/>
      </c>
      <c r="F78" s="30" t="str">
        <f aca="false">IF(OR($C$118=0,B78=""),"",B78/$C$118)</f>
        <v/>
      </c>
    </row>
    <row r="79" customFormat="false" ht="15" hidden="false" customHeight="false" outlineLevel="0" collapsed="false">
      <c r="A79" s="43" t="s">
        <v>119</v>
      </c>
      <c r="B79" s="35"/>
      <c r="C79" s="44" t="n">
        <f aca="false">SUM(B68:B78)</f>
        <v>0</v>
      </c>
      <c r="D79" s="44" t="n">
        <f aca="false">SUM(D68:D78)</f>
        <v>0</v>
      </c>
      <c r="E79" s="44" t="str">
        <f aca="false">IF(D79=0,"",D79-C79)</f>
        <v/>
      </c>
      <c r="F79" s="45" t="str">
        <f aca="false">IF(OR($C$118=0,C79=""),"",C79/$C$118)</f>
        <v/>
      </c>
    </row>
    <row r="80" customFormat="false" ht="15" hidden="false" customHeight="false" outlineLevel="0" collapsed="false">
      <c r="A80" s="39" t="s">
        <v>48</v>
      </c>
      <c r="B80" s="40"/>
      <c r="C80" s="40"/>
      <c r="D80" s="40"/>
      <c r="E80" s="40"/>
      <c r="F80" s="40"/>
    </row>
    <row r="81" customFormat="false" ht="15" hidden="false" customHeight="false" outlineLevel="0" collapsed="false">
      <c r="A81" s="41" t="str">
        <f aca="false">IF(Május!A81="","",Május!A81)</f>
        <v>Ruha</v>
      </c>
      <c r="B81" s="42"/>
      <c r="C81" s="25"/>
      <c r="D81" s="42"/>
      <c r="E81" s="25" t="str">
        <f aca="false">IF(D81=0,"",D81-B81)</f>
        <v/>
      </c>
      <c r="F81" s="30" t="str">
        <f aca="false">IF(OR($C$118=0,B81=""),"",B81/$C$118)</f>
        <v/>
      </c>
    </row>
    <row r="82" customFormat="false" ht="15" hidden="false" customHeight="false" outlineLevel="0" collapsed="false">
      <c r="A82" s="41" t="str">
        <f aca="false">IF(Május!A82="","",Május!A82)</f>
        <v>Cipő</v>
      </c>
      <c r="B82" s="42"/>
      <c r="C82" s="25"/>
      <c r="D82" s="42"/>
      <c r="E82" s="25" t="str">
        <f aca="false">IF(D82=0,"",D82-B82)</f>
        <v/>
      </c>
      <c r="F82" s="30" t="str">
        <f aca="false">IF(OR($C$118=0,B82=""),"",B82/$C$118)</f>
        <v/>
      </c>
    </row>
    <row r="83" customFormat="false" ht="15" hidden="false" customHeight="false" outlineLevel="0" collapsed="false">
      <c r="A83" s="41" t="str">
        <f aca="false">IF(Május!A83="","",Május!A83)</f>
        <v>Kiegészítők (táska, ékszer, óra)</v>
      </c>
      <c r="B83" s="42"/>
      <c r="C83" s="25"/>
      <c r="D83" s="42"/>
      <c r="E83" s="25" t="str">
        <f aca="false">IF(D83=0,"",D83-B83)</f>
        <v/>
      </c>
      <c r="F83" s="30" t="str">
        <f aca="false">IF(OR($C$118=0,B83=""),"",B83/$C$118)</f>
        <v/>
      </c>
    </row>
    <row r="84" customFormat="false" ht="15" hidden="false" customHeight="false" outlineLevel="0" collapsed="false">
      <c r="A84" s="41" t="str">
        <f aca="false">IF(Május!A84="","",Május!A84)</f>
        <v/>
      </c>
      <c r="B84" s="42"/>
      <c r="C84" s="25"/>
      <c r="D84" s="42"/>
      <c r="E84" s="25" t="str">
        <f aca="false">IF(D84=0,"",D84-B84)</f>
        <v/>
      </c>
      <c r="F84" s="30" t="str">
        <f aca="false">IF(OR($C$118=0,B84=""),"",B84/$C$118)</f>
        <v/>
      </c>
    </row>
    <row r="85" customFormat="false" ht="15" hidden="false" customHeight="false" outlineLevel="0" collapsed="false">
      <c r="A85" s="43" t="s">
        <v>123</v>
      </c>
      <c r="B85" s="35"/>
      <c r="C85" s="44" t="n">
        <f aca="false">SUM(B81:B84)</f>
        <v>0</v>
      </c>
      <c r="D85" s="44" t="n">
        <f aca="false">SUM(D81:D84)</f>
        <v>0</v>
      </c>
      <c r="E85" s="44" t="str">
        <f aca="false">IF(D85=0,"",D85-C85)</f>
        <v/>
      </c>
      <c r="F85" s="45" t="str">
        <f aca="false">IF(OR($C$118=0,C85=""),"",C85/$C$118)</f>
        <v/>
      </c>
    </row>
    <row r="86" customFormat="false" ht="15" hidden="false" customHeight="false" outlineLevel="0" collapsed="false">
      <c r="A86" s="39" t="s">
        <v>49</v>
      </c>
      <c r="B86" s="40"/>
      <c r="C86" s="40"/>
      <c r="D86" s="40"/>
      <c r="E86" s="40"/>
      <c r="F86" s="40"/>
    </row>
    <row r="87" customFormat="false" ht="15" hidden="false" customHeight="false" outlineLevel="0" collapsed="false">
      <c r="A87" s="41" t="str">
        <f aca="false">IF(Május!A87="","",Május!A87)</f>
        <v>Fodrász, borbély</v>
      </c>
      <c r="B87" s="42"/>
      <c r="C87" s="25"/>
      <c r="D87" s="42"/>
      <c r="E87" s="25" t="str">
        <f aca="false">IF(D87=0,"",D87-B87)</f>
        <v/>
      </c>
      <c r="F87" s="30" t="str">
        <f aca="false">IF(OR($C$118=0,B87=""),"",B87/$C$118)</f>
        <v/>
      </c>
    </row>
    <row r="88" customFormat="false" ht="15" hidden="false" customHeight="false" outlineLevel="0" collapsed="false">
      <c r="A88" s="41" t="str">
        <f aca="false">IF(Május!A88="","",Május!A88)</f>
        <v>Kozmetikus, manikűr, pedikűr</v>
      </c>
      <c r="B88" s="42"/>
      <c r="C88" s="25"/>
      <c r="D88" s="42"/>
      <c r="E88" s="25" t="str">
        <f aca="false">IF(D88=0,"",D88-B88)</f>
        <v/>
      </c>
      <c r="F88" s="30" t="str">
        <f aca="false">IF(OR($C$118=0,B88=""),"",B88/$C$118)</f>
        <v/>
      </c>
    </row>
    <row r="89" customFormat="false" ht="15" hidden="false" customHeight="false" outlineLevel="0" collapsed="false">
      <c r="A89" s="41" t="str">
        <f aca="false">IF(Május!A89="","",Május!A89)</f>
        <v>Kozmetikumok, parfüm</v>
      </c>
      <c r="B89" s="42"/>
      <c r="C89" s="25"/>
      <c r="D89" s="42"/>
      <c r="E89" s="25" t="str">
        <f aca="false">IF(D89=0,"",D89-B89)</f>
        <v/>
      </c>
      <c r="F89" s="30" t="str">
        <f aca="false">IF(OR($C$118=0,B89=""),"",B89/$C$118)</f>
        <v/>
      </c>
    </row>
    <row r="90" customFormat="false" ht="15" hidden="false" customHeight="false" outlineLevel="0" collapsed="false">
      <c r="A90" s="41" t="str">
        <f aca="false">IF(Május!A90="","",Május!A90)</f>
        <v>Edzés, sport, bérlet</v>
      </c>
      <c r="B90" s="42"/>
      <c r="C90" s="25"/>
      <c r="D90" s="42"/>
      <c r="E90" s="25" t="str">
        <f aca="false">IF(D90=0,"",D90-B90)</f>
        <v/>
      </c>
      <c r="F90" s="30" t="str">
        <f aca="false">IF(OR($C$118=0,B90=""),"",B90/$C$118)</f>
        <v/>
      </c>
    </row>
    <row r="91" customFormat="false" ht="15" hidden="false" customHeight="false" outlineLevel="0" collapsed="false">
      <c r="A91" s="41" t="str">
        <f aca="false">IF(Május!A91="","",Május!A91)</f>
        <v>Gyógyszer, vitamin</v>
      </c>
      <c r="B91" s="42"/>
      <c r="C91" s="25"/>
      <c r="D91" s="42"/>
      <c r="E91" s="25" t="str">
        <f aca="false">IF(D91=0,"",D91-B91)</f>
        <v/>
      </c>
      <c r="F91" s="30" t="str">
        <f aca="false">IF(OR($C$118=0,B91=""),"",B91/$C$118)</f>
        <v/>
      </c>
    </row>
    <row r="92" customFormat="false" ht="15" hidden="false" customHeight="false" outlineLevel="0" collapsed="false">
      <c r="A92" s="41" t="str">
        <f aca="false">IF(Május!A92="","",Május!A92)</f>
        <v>Orvos, fogorvos, magánrendelés</v>
      </c>
      <c r="B92" s="42"/>
      <c r="C92" s="25"/>
      <c r="D92" s="42"/>
      <c r="E92" s="25" t="str">
        <f aca="false">IF(D92=0,"",D92-B92)</f>
        <v/>
      </c>
      <c r="F92" s="30" t="str">
        <f aca="false">IF(OR($C$118=0,B92=""),"",B92/$C$118)</f>
        <v/>
      </c>
    </row>
    <row r="93" customFormat="false" ht="15" hidden="false" customHeight="false" outlineLevel="0" collapsed="false">
      <c r="A93" s="41" t="str">
        <f aca="false">IF(Május!A93="","",Május!A93)</f>
        <v/>
      </c>
      <c r="B93" s="42"/>
      <c r="C93" s="25"/>
      <c r="D93" s="42"/>
      <c r="E93" s="25" t="str">
        <f aca="false">IF(D93=0,"",D93-B93)</f>
        <v/>
      </c>
      <c r="F93" s="30" t="str">
        <f aca="false">IF(OR($C$118=0,B93=""),"",B93/$C$118)</f>
        <v/>
      </c>
    </row>
    <row r="94" customFormat="false" ht="15" hidden="false" customHeight="false" outlineLevel="0" collapsed="false">
      <c r="A94" s="43" t="s">
        <v>130</v>
      </c>
      <c r="B94" s="35"/>
      <c r="C94" s="44" t="n">
        <f aca="false">SUM(B87:B93)</f>
        <v>0</v>
      </c>
      <c r="D94" s="44" t="n">
        <f aca="false">SUM(D87:D93)</f>
        <v>0</v>
      </c>
      <c r="E94" s="44" t="str">
        <f aca="false">IF(D94=0,"",D94-C94)</f>
        <v/>
      </c>
      <c r="F94" s="45" t="str">
        <f aca="false">IF(OR($C$118=0,C94=""),"",C94/$C$118)</f>
        <v/>
      </c>
    </row>
    <row r="95" customFormat="false" ht="15" hidden="false" customHeight="false" outlineLevel="0" collapsed="false">
      <c r="A95" s="39" t="s">
        <v>50</v>
      </c>
      <c r="B95" s="40"/>
      <c r="C95" s="40"/>
      <c r="D95" s="40"/>
      <c r="E95" s="40"/>
      <c r="F95" s="40"/>
    </row>
    <row r="96" customFormat="false" ht="15" hidden="false" customHeight="false" outlineLevel="0" collapsed="false">
      <c r="A96" s="41" t="str">
        <f aca="false">IF(Május!A96="","",Május!A96)</f>
        <v>Cigaretta, dohány</v>
      </c>
      <c r="B96" s="42"/>
      <c r="C96" s="25"/>
      <c r="D96" s="42"/>
      <c r="E96" s="25" t="str">
        <f aca="false">IF(D96=0,"",D96-B96)</f>
        <v/>
      </c>
      <c r="F96" s="30" t="str">
        <f aca="false">IF(OR($C$118=0,B96=""),"",B96/$C$118)</f>
        <v/>
      </c>
    </row>
    <row r="97" customFormat="false" ht="15" hidden="false" customHeight="false" outlineLevel="0" collapsed="false">
      <c r="A97" s="41" t="str">
        <f aca="false">IF(Május!A97="","",Május!A97)</f>
        <v>E-cigaretta, hevített dohánytermék</v>
      </c>
      <c r="B97" s="42"/>
      <c r="C97" s="25"/>
      <c r="D97" s="42"/>
      <c r="E97" s="25" t="str">
        <f aca="false">IF(D97=0,"",D97-B97)</f>
        <v/>
      </c>
      <c r="F97" s="30" t="str">
        <f aca="false">IF(OR($C$118=0,B97=""),"",B97/$C$118)</f>
        <v/>
      </c>
    </row>
    <row r="98" customFormat="false" ht="15" hidden="false" customHeight="false" outlineLevel="0" collapsed="false">
      <c r="A98" s="41" t="str">
        <f aca="false">IF(Május!A98="","",Május!A98)</f>
        <v/>
      </c>
      <c r="B98" s="42"/>
      <c r="C98" s="25"/>
      <c r="D98" s="42"/>
      <c r="E98" s="25" t="str">
        <f aca="false">IF(D98=0,"",D98-B98)</f>
        <v/>
      </c>
      <c r="F98" s="30" t="str">
        <f aca="false">IF(OR($C$118=0,B98=""),"",B98/$C$118)</f>
        <v/>
      </c>
    </row>
    <row r="99" customFormat="false" ht="15" hidden="false" customHeight="false" outlineLevel="0" collapsed="false">
      <c r="A99" s="43" t="s">
        <v>133</v>
      </c>
      <c r="B99" s="35"/>
      <c r="C99" s="44" t="n">
        <f aca="false">SUM(B96:B98)</f>
        <v>0</v>
      </c>
      <c r="D99" s="44" t="n">
        <f aca="false">SUM(D96:D98)</f>
        <v>0</v>
      </c>
      <c r="E99" s="44" t="str">
        <f aca="false">IF(D99=0,"",D99-C99)</f>
        <v/>
      </c>
      <c r="F99" s="45" t="str">
        <f aca="false">IF(OR($C$118=0,C99=""),"",C99/$C$118)</f>
        <v/>
      </c>
    </row>
    <row r="100" customFormat="false" ht="15" hidden="false" customHeight="false" outlineLevel="0" collapsed="false">
      <c r="A100" s="39" t="s">
        <v>51</v>
      </c>
      <c r="B100" s="40"/>
      <c r="C100" s="40"/>
      <c r="D100" s="40"/>
      <c r="E100" s="40"/>
      <c r="F100" s="40"/>
    </row>
    <row r="101" customFormat="false" ht="15" hidden="false" customHeight="false" outlineLevel="0" collapsed="false">
      <c r="A101" s="41" t="str">
        <f aca="false">IF(Május!A101="","",Május!A101)</f>
        <v>Állateledel, jutalomfalat</v>
      </c>
      <c r="B101" s="42"/>
      <c r="C101" s="25"/>
      <c r="D101" s="42"/>
      <c r="E101" s="25" t="str">
        <f aca="false">IF(D101=0,"",D101-B101)</f>
        <v/>
      </c>
      <c r="F101" s="30" t="str">
        <f aca="false">IF(OR($C$118=0,B101=""),"",B101/$C$118)</f>
        <v/>
      </c>
    </row>
    <row r="102" customFormat="false" ht="15" hidden="false" customHeight="false" outlineLevel="0" collapsed="false">
      <c r="A102" s="41" t="str">
        <f aca="false">IF(Május!A102="","",Május!A102)</f>
        <v>Állatorvos, oltások, gyógyszer</v>
      </c>
      <c r="B102" s="42"/>
      <c r="C102" s="25"/>
      <c r="D102" s="42"/>
      <c r="E102" s="25" t="str">
        <f aca="false">IF(D102=0,"",D102-B102)</f>
        <v/>
      </c>
      <c r="F102" s="30" t="str">
        <f aca="false">IF(OR($C$118=0,B102=""),"",B102/$C$118)</f>
        <v/>
      </c>
    </row>
    <row r="103" customFormat="false" ht="15" hidden="false" customHeight="false" outlineLevel="0" collapsed="false">
      <c r="A103" s="41" t="str">
        <f aca="false">IF(Május!A103="","",Május!A103)</f>
        <v>Felszerelés, alom, játékok</v>
      </c>
      <c r="B103" s="42"/>
      <c r="C103" s="25"/>
      <c r="D103" s="42"/>
      <c r="E103" s="25" t="str">
        <f aca="false">IF(D103=0,"",D103-B103)</f>
        <v/>
      </c>
      <c r="F103" s="30" t="str">
        <f aca="false">IF(OR($C$118=0,B103=""),"",B103/$C$118)</f>
        <v/>
      </c>
    </row>
    <row r="104" customFormat="false" ht="15" hidden="false" customHeight="false" outlineLevel="0" collapsed="false">
      <c r="A104" s="41" t="str">
        <f aca="false">IF(Május!A104="","",Május!A104)</f>
        <v>Kisállat-kozmetika, panzió, kutyaiskola</v>
      </c>
      <c r="B104" s="42"/>
      <c r="C104" s="25"/>
      <c r="D104" s="42"/>
      <c r="E104" s="25" t="str">
        <f aca="false">IF(D104=0,"",D104-B104)</f>
        <v/>
      </c>
      <c r="F104" s="30" t="str">
        <f aca="false">IF(OR($C$118=0,B104=""),"",B104/$C$118)</f>
        <v/>
      </c>
    </row>
    <row r="105" customFormat="false" ht="15" hidden="false" customHeight="false" outlineLevel="0" collapsed="false">
      <c r="A105" s="41" t="str">
        <f aca="false">IF(Május!A105="","",Május!A105)</f>
        <v/>
      </c>
      <c r="B105" s="42"/>
      <c r="C105" s="25"/>
      <c r="D105" s="42"/>
      <c r="E105" s="25" t="str">
        <f aca="false">IF(D105=0,"",D105-B105)</f>
        <v/>
      </c>
      <c r="F105" s="30" t="str">
        <f aca="false">IF(OR($C$118=0,B105=""),"",B105/$C$118)</f>
        <v/>
      </c>
    </row>
    <row r="106" customFormat="false" ht="15" hidden="false" customHeight="false" outlineLevel="0" collapsed="false">
      <c r="A106" s="43" t="s">
        <v>138</v>
      </c>
      <c r="B106" s="35"/>
      <c r="C106" s="44" t="n">
        <f aca="false">SUM(B101:B105)</f>
        <v>0</v>
      </c>
      <c r="D106" s="44" t="n">
        <f aca="false">SUM(D101:D105)</f>
        <v>0</v>
      </c>
      <c r="E106" s="44" t="str">
        <f aca="false">IF(D106=0,"",D106-C106)</f>
        <v/>
      </c>
      <c r="F106" s="45" t="str">
        <f aca="false">IF(OR($C$118=0,C106=""),"",C106/$C$118)</f>
        <v/>
      </c>
    </row>
    <row r="107" customFormat="false" ht="15" hidden="false" customHeight="false" outlineLevel="0" collapsed="false">
      <c r="A107" s="39" t="s">
        <v>52</v>
      </c>
      <c r="B107" s="40"/>
      <c r="C107" s="40"/>
      <c r="D107" s="40"/>
      <c r="E107" s="40"/>
      <c r="F107" s="40"/>
    </row>
    <row r="108" customFormat="false" ht="15" hidden="false" customHeight="false" outlineLevel="0" collapsed="false">
      <c r="A108" s="41" t="str">
        <f aca="false">IF(Május!A108="","",Május!A108)</f>
        <v>Hobbi</v>
      </c>
      <c r="B108" s="42"/>
      <c r="C108" s="25"/>
      <c r="D108" s="42"/>
      <c r="E108" s="25" t="str">
        <f aca="false">IF(D108=0,"",D108-B108)</f>
        <v/>
      </c>
      <c r="F108" s="30" t="str">
        <f aca="false">IF(OR($C$118=0,B108=""),"",B108/$C$118)</f>
        <v/>
      </c>
    </row>
    <row r="109" customFormat="false" ht="15" hidden="false" customHeight="false" outlineLevel="0" collapsed="false">
      <c r="A109" s="41" t="str">
        <f aca="false">IF(Május!A109="","",Május!A109)</f>
        <v>Szórakozás (mozi, színház, koncert, étterem)</v>
      </c>
      <c r="B109" s="42"/>
      <c r="C109" s="25"/>
      <c r="D109" s="42"/>
      <c r="E109" s="25" t="str">
        <f aca="false">IF(D109=0,"",D109-B109)</f>
        <v/>
      </c>
      <c r="F109" s="30" t="str">
        <f aca="false">IF(OR($C$118=0,B109=""),"",B109/$C$118)</f>
        <v/>
      </c>
    </row>
    <row r="110" customFormat="false" ht="15" hidden="false" customHeight="false" outlineLevel="0" collapsed="false">
      <c r="A110" s="41" t="str">
        <f aca="false">IF(Május!A110="","",Május!A110)</f>
        <v>Nyaralás, utazás</v>
      </c>
      <c r="B110" s="42"/>
      <c r="C110" s="25"/>
      <c r="D110" s="42"/>
      <c r="E110" s="25" t="str">
        <f aca="false">IF(D110=0,"",D110-B110)</f>
        <v/>
      </c>
      <c r="F110" s="30" t="str">
        <f aca="false">IF(OR($C$118=0,B110=""),"",B110/$C$118)</f>
        <v/>
      </c>
    </row>
    <row r="111" customFormat="false" ht="15" hidden="false" customHeight="false" outlineLevel="0" collapsed="false">
      <c r="A111" s="41" t="str">
        <f aca="false">IF(Május!A111="","",Május!A111)</f>
        <v/>
      </c>
      <c r="B111" s="42"/>
      <c r="C111" s="25"/>
      <c r="D111" s="42"/>
      <c r="E111" s="25" t="str">
        <f aca="false">IF(D111=0,"",D111-B111)</f>
        <v/>
      </c>
      <c r="F111" s="30" t="str">
        <f aca="false">IF(OR($C$118=0,B111=""),"",B111/$C$118)</f>
        <v/>
      </c>
    </row>
    <row r="112" customFormat="false" ht="15" hidden="false" customHeight="false" outlineLevel="0" collapsed="false">
      <c r="A112" s="43" t="s">
        <v>142</v>
      </c>
      <c r="B112" s="35"/>
      <c r="C112" s="44" t="n">
        <f aca="false">SUM(B108:B111)</f>
        <v>0</v>
      </c>
      <c r="D112" s="44" t="n">
        <f aca="false">SUM(D108:D111)</f>
        <v>0</v>
      </c>
      <c r="E112" s="44" t="str">
        <f aca="false">IF(D112=0,"",D112-C112)</f>
        <v/>
      </c>
      <c r="F112" s="45" t="str">
        <f aca="false">IF(OR($C$118=0,C112=""),"",C112/$C$118)</f>
        <v/>
      </c>
    </row>
    <row r="113" customFormat="false" ht="15" hidden="false" customHeight="false" outlineLevel="0" collapsed="false">
      <c r="A113" s="39" t="s">
        <v>53</v>
      </c>
      <c r="B113" s="40"/>
      <c r="C113" s="40"/>
      <c r="D113" s="40"/>
      <c r="E113" s="40"/>
      <c r="F113" s="40"/>
    </row>
    <row r="114" customFormat="false" ht="15" hidden="false" customHeight="false" outlineLevel="0" collapsed="false">
      <c r="A114" s="41" t="str">
        <f aca="false">IF(Május!A114="","",Május!A114)</f>
        <v>Ünnepek, ajándékok</v>
      </c>
      <c r="B114" s="42"/>
      <c r="C114" s="25"/>
      <c r="D114" s="42"/>
      <c r="E114" s="25" t="str">
        <f aca="false">IF(D114=0,"",D114-B114)</f>
        <v/>
      </c>
      <c r="F114" s="30" t="str">
        <f aca="false">IF(OR($C$118=0,B114=""),"",B114/$C$118)</f>
        <v/>
      </c>
    </row>
    <row r="115" customFormat="false" ht="15" hidden="false" customHeight="false" outlineLevel="0" collapsed="false">
      <c r="A115" s="41" t="str">
        <f aca="false">IF(Május!A115="","",Május!A115)</f>
        <v>Egyéb kiadás</v>
      </c>
      <c r="B115" s="42"/>
      <c r="C115" s="25"/>
      <c r="D115" s="42"/>
      <c r="E115" s="25" t="str">
        <f aca="false">IF(D115=0,"",D115-B115)</f>
        <v/>
      </c>
      <c r="F115" s="30" t="str">
        <f aca="false">IF(OR($C$118=0,B115=""),"",B115/$C$118)</f>
        <v/>
      </c>
    </row>
    <row r="116" customFormat="false" ht="15" hidden="false" customHeight="false" outlineLevel="0" collapsed="false">
      <c r="A116" s="41" t="str">
        <f aca="false">IF(Május!A116="","",Május!A116)</f>
        <v/>
      </c>
      <c r="B116" s="42"/>
      <c r="C116" s="25"/>
      <c r="D116" s="42"/>
      <c r="E116" s="25" t="str">
        <f aca="false">IF(D116=0,"",D116-B116)</f>
        <v/>
      </c>
      <c r="F116" s="30" t="str">
        <f aca="false">IF(OR($C$118=0,B116=""),"",B116/$C$118)</f>
        <v/>
      </c>
    </row>
    <row r="117" customFormat="false" ht="15" hidden="false" customHeight="false" outlineLevel="0" collapsed="false">
      <c r="A117" s="43" t="s">
        <v>145</v>
      </c>
      <c r="B117" s="35"/>
      <c r="C117" s="44" t="n">
        <f aca="false">SUM(B114:B116)</f>
        <v>0</v>
      </c>
      <c r="D117" s="44" t="n">
        <f aca="false">SUM(D114:D116)</f>
        <v>0</v>
      </c>
      <c r="E117" s="44" t="str">
        <f aca="false">IF(D117=0,"",D117-C117)</f>
        <v/>
      </c>
      <c r="F117" s="45" t="str">
        <f aca="false">IF(OR($C$118=0,C117=""),"",C117/$C$118)</f>
        <v/>
      </c>
    </row>
    <row r="118" customFormat="false" ht="15" hidden="false" customHeight="false" outlineLevel="0" collapsed="false">
      <c r="A118" s="33" t="s">
        <v>146</v>
      </c>
      <c r="B118" s="33"/>
      <c r="C118" s="50" t="n">
        <f aca="false">C35+C42+C52+C66+C79+C85+C94+C99+C106+C112+C117</f>
        <v>0</v>
      </c>
      <c r="D118" s="50" t="n">
        <f aca="false">D35+D42+D52+D66+D79+D85+D94+D99+D106+D112+D117</f>
        <v>0</v>
      </c>
      <c r="E118" s="50" t="str">
        <f aca="false">IF(D118=0,"",D118-C118)</f>
        <v/>
      </c>
      <c r="F118" s="51" t="str">
        <f aca="false">IF($C$16=0,"",C118/$C$16)</f>
        <v/>
      </c>
    </row>
    <row r="119" customFormat="false" ht="15" hidden="false" customHeight="false" outlineLevel="0" collapsed="false">
      <c r="A119" s="8" t="s">
        <v>147</v>
      </c>
      <c r="B119" s="8"/>
      <c r="C119" s="8" t="s">
        <v>148</v>
      </c>
      <c r="D119" s="8" t="s">
        <v>149</v>
      </c>
      <c r="E119" s="8"/>
      <c r="F119" s="8" t="s">
        <v>150</v>
      </c>
    </row>
    <row r="120" customFormat="false" ht="15" hidden="false" customHeight="false" outlineLevel="0" collapsed="false">
      <c r="A120" s="13" t="s">
        <v>151</v>
      </c>
      <c r="B120" s="52"/>
      <c r="C120" s="53" t="n">
        <f aca="false">C16</f>
        <v>0</v>
      </c>
      <c r="D120" s="53" t="n">
        <f aca="false">D16</f>
        <v>0</v>
      </c>
      <c r="E120" s="52"/>
      <c r="F120" s="54" t="str">
        <f aca="false">IF($C$120=0,"",C120/$C$120)</f>
        <v/>
      </c>
    </row>
    <row r="121" customFormat="false" ht="15" hidden="false" customHeight="false" outlineLevel="0" collapsed="false">
      <c r="A121" s="17" t="s">
        <v>152</v>
      </c>
      <c r="B121" s="52"/>
      <c r="C121" s="53" t="n">
        <f aca="false">C28</f>
        <v>0</v>
      </c>
      <c r="D121" s="53" t="n">
        <f aca="false">D28</f>
        <v>0</v>
      </c>
      <c r="E121" s="52"/>
      <c r="F121" s="54" t="str">
        <f aca="false">IF($C$120=0,"",C121/$C$120)</f>
        <v/>
      </c>
    </row>
    <row r="122" customFormat="false" ht="15" hidden="false" customHeight="false" outlineLevel="0" collapsed="false">
      <c r="A122" s="18" t="s">
        <v>153</v>
      </c>
      <c r="B122" s="52"/>
      <c r="C122" s="53" t="n">
        <f aca="false">C118</f>
        <v>0</v>
      </c>
      <c r="D122" s="53" t="n">
        <f aca="false">D118</f>
        <v>0</v>
      </c>
      <c r="E122" s="52"/>
      <c r="F122" s="54" t="str">
        <f aca="false">IF($C$120=0,"",C122/$C$120)</f>
        <v/>
      </c>
    </row>
    <row r="123" customFormat="false" ht="15" hidden="false" customHeight="false" outlineLevel="0" collapsed="false">
      <c r="A123" s="33" t="s">
        <v>154</v>
      </c>
      <c r="B123" s="33"/>
      <c r="C123" s="50" t="n">
        <f aca="false">C121+C122</f>
        <v>0</v>
      </c>
      <c r="D123" s="50" t="n">
        <f aca="false">D121+D122</f>
        <v>0</v>
      </c>
      <c r="E123" s="33"/>
      <c r="F123" s="51" t="str">
        <f aca="false">IF($C$120=0,"",C123/$C$120)</f>
        <v/>
      </c>
    </row>
    <row r="124" customFormat="false" ht="15" hidden="false" customHeight="false" outlineLevel="0" collapsed="false">
      <c r="A124" s="19" t="s">
        <v>155</v>
      </c>
      <c r="B124" s="19"/>
      <c r="C124" s="20" t="n">
        <f aca="false">C120-C123</f>
        <v>0</v>
      </c>
      <c r="D124" s="20" t="n">
        <f aca="false">D120-D123</f>
        <v>0</v>
      </c>
      <c r="E124" s="19"/>
      <c r="F124" s="55" t="str">
        <f aca="false">IF($C$120=0,"",C124/$C$120)</f>
        <v/>
      </c>
    </row>
    <row r="125" customFormat="false" ht="15" hidden="false" customHeight="false" outlineLevel="0" collapsed="false">
      <c r="A125" s="24" t="s">
        <v>156</v>
      </c>
      <c r="B125" s="24"/>
      <c r="C125" s="23" t="str">
        <f aca="false">IF(C120=0,"–",C121/C120)</f>
        <v>–</v>
      </c>
      <c r="D125" s="23" t="str">
        <f aca="false">IF(D120=0,"–",D121/D120)</f>
        <v>–</v>
      </c>
      <c r="E125" s="24"/>
      <c r="F125" s="24"/>
    </row>
    <row r="126" customFormat="false" ht="15" hidden="false" customHeight="false" outlineLevel="0" collapsed="false">
      <c r="A126" s="36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7" t="str">
        <f aca="false">" 💰 HAVI KÖLTSÉGVETÉS — "&amp;UPPER("Július")&amp;" "&amp;'📊 Éves Összesítő'!$B$2</f>
        <v> 💰 HAVI KÖLTSÉGVETÉS — JÚLIUS 2026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37" t="s">
        <v>56</v>
      </c>
      <c r="B2" s="38" t="s">
        <v>57</v>
      </c>
      <c r="C2" s="38" t="s">
        <v>58</v>
      </c>
      <c r="D2" s="38" t="s">
        <v>59</v>
      </c>
      <c r="E2" s="38" t="s">
        <v>60</v>
      </c>
      <c r="F2" s="38" t="s">
        <v>33</v>
      </c>
    </row>
    <row r="3" customFormat="false" ht="18" hidden="false" customHeight="true" outlineLevel="0" collapsed="false">
      <c r="A3" s="26" t="s">
        <v>61</v>
      </c>
      <c r="B3" s="26"/>
      <c r="C3" s="26"/>
      <c r="D3" s="26"/>
      <c r="E3" s="26"/>
      <c r="F3" s="26"/>
    </row>
    <row r="4" customFormat="false" ht="15" hidden="false" customHeight="false" outlineLevel="0" collapsed="false">
      <c r="A4" s="39" t="s">
        <v>62</v>
      </c>
      <c r="B4" s="40"/>
      <c r="C4" s="40"/>
      <c r="D4" s="40"/>
      <c r="E4" s="40"/>
      <c r="F4" s="40"/>
    </row>
    <row r="5" customFormat="false" ht="15" hidden="false" customHeight="false" outlineLevel="0" collapsed="false">
      <c r="A5" s="41" t="str">
        <f aca="false">IF(Június!A5="","",Június!A5)</f>
        <v>Munkabér 1 (pl. saját)</v>
      </c>
      <c r="B5" s="42"/>
      <c r="C5" s="25"/>
      <c r="D5" s="42"/>
      <c r="E5" s="25" t="str">
        <f aca="false">IF(D5=0,"",B5-D5)</f>
        <v/>
      </c>
      <c r="F5" s="30" t="str">
        <f aca="false">IF(OR($C$16=0,B5=""),"",B5/$C$16)</f>
        <v/>
      </c>
    </row>
    <row r="6" customFormat="false" ht="15" hidden="false" customHeight="false" outlineLevel="0" collapsed="false">
      <c r="A6" s="41" t="str">
        <f aca="false">IF(Június!A6="","",Június!A6)</f>
        <v>Munkabér 2 (pl. partner)</v>
      </c>
      <c r="B6" s="42"/>
      <c r="C6" s="25"/>
      <c r="D6" s="42"/>
      <c r="E6" s="25" t="str">
        <f aca="false">IF(D6=0,"",B6-D6)</f>
        <v/>
      </c>
      <c r="F6" s="30" t="str">
        <f aca="false">IF(OR($C$16=0,B6=""),"",B6/$C$16)</f>
        <v/>
      </c>
    </row>
    <row r="7" customFormat="false" ht="15" hidden="false" customHeight="false" outlineLevel="0" collapsed="false">
      <c r="A7" s="41" t="str">
        <f aca="false">IF(Június!A7="","",Június!A7)</f>
        <v>Vállalkozói bevétel</v>
      </c>
      <c r="B7" s="42"/>
      <c r="C7" s="25"/>
      <c r="D7" s="42"/>
      <c r="E7" s="25" t="str">
        <f aca="false">IF(D7=0,"",B7-D7)</f>
        <v/>
      </c>
      <c r="F7" s="30" t="str">
        <f aca="false">IF(OR($C$16=0,B7=""),"",B7/$C$16)</f>
        <v/>
      </c>
    </row>
    <row r="8" customFormat="false" ht="15" hidden="false" customHeight="false" outlineLevel="0" collapsed="false">
      <c r="A8" s="41" t="str">
        <f aca="false">IF(Június!A8="","",Június!A8)</f>
        <v/>
      </c>
      <c r="B8" s="42"/>
      <c r="C8" s="25"/>
      <c r="D8" s="42"/>
      <c r="E8" s="25" t="str">
        <f aca="false">IF(D8=0,"",B8-D8)</f>
        <v/>
      </c>
      <c r="F8" s="30" t="str">
        <f aca="false">IF(OR($C$16=0,B8=""),"",B8/$C$16)</f>
        <v/>
      </c>
    </row>
    <row r="9" customFormat="false" ht="15" hidden="false" customHeight="false" outlineLevel="0" collapsed="false">
      <c r="A9" s="43" t="s">
        <v>66</v>
      </c>
      <c r="B9" s="35"/>
      <c r="C9" s="44" t="n">
        <f aca="false">SUM(B5:B8)</f>
        <v>0</v>
      </c>
      <c r="D9" s="44" t="n">
        <f aca="false">SUM(D5:D8)</f>
        <v>0</v>
      </c>
      <c r="E9" s="44" t="str">
        <f aca="false">IF(D9=0,"",C9-D9)</f>
        <v/>
      </c>
      <c r="F9" s="45" t="str">
        <f aca="false">IF(OR($C$16=0,C9=""),"",C9/$C$16)</f>
        <v/>
      </c>
    </row>
    <row r="10" customFormat="false" ht="15" hidden="false" customHeight="false" outlineLevel="0" collapsed="false">
      <c r="A10" s="39" t="s">
        <v>67</v>
      </c>
      <c r="B10" s="40"/>
      <c r="C10" s="40"/>
      <c r="D10" s="40"/>
      <c r="E10" s="40"/>
      <c r="F10" s="40"/>
    </row>
    <row r="11" customFormat="false" ht="15" hidden="false" customHeight="false" outlineLevel="0" collapsed="false">
      <c r="A11" s="41" t="str">
        <f aca="false">IF(Június!A11="","",Június!A11)</f>
        <v>CSED / GYED / GYES</v>
      </c>
      <c r="B11" s="42"/>
      <c r="C11" s="25"/>
      <c r="D11" s="42"/>
      <c r="E11" s="25" t="str">
        <f aca="false">IF(D11=0,"",B11-D11)</f>
        <v/>
      </c>
      <c r="F11" s="30" t="str">
        <f aca="false">IF(OR($C$16=0,B11=""),"",B11/$C$16)</f>
        <v/>
      </c>
    </row>
    <row r="12" customFormat="false" ht="15" hidden="false" customHeight="false" outlineLevel="0" collapsed="false">
      <c r="A12" s="41" t="str">
        <f aca="false">IF(Június!A12="","",Június!A12)</f>
        <v>Családi pótlék</v>
      </c>
      <c r="B12" s="42"/>
      <c r="C12" s="25"/>
      <c r="D12" s="42"/>
      <c r="E12" s="25" t="str">
        <f aca="false">IF(D12=0,"",B12-D12)</f>
        <v/>
      </c>
      <c r="F12" s="30" t="str">
        <f aca="false">IF(OR($C$16=0,B12=""),"",B12/$C$16)</f>
        <v/>
      </c>
    </row>
    <row r="13" customFormat="false" ht="15" hidden="false" customHeight="false" outlineLevel="0" collapsed="false">
      <c r="A13" s="41" t="str">
        <f aca="false">IF(Június!A13="","",Június!A13)</f>
        <v>Egyéb (lakáskiadás, bónusz stb.)</v>
      </c>
      <c r="B13" s="42"/>
      <c r="C13" s="25"/>
      <c r="D13" s="42"/>
      <c r="E13" s="25" t="str">
        <f aca="false">IF(D13=0,"",B13-D13)</f>
        <v/>
      </c>
      <c r="F13" s="30" t="str">
        <f aca="false">IF(OR($C$16=0,B13=""),"",B13/$C$16)</f>
        <v/>
      </c>
    </row>
    <row r="14" customFormat="false" ht="15" hidden="false" customHeight="false" outlineLevel="0" collapsed="false">
      <c r="A14" s="41" t="str">
        <f aca="false">IF(Június!A14="","",Június!A14)</f>
        <v/>
      </c>
      <c r="B14" s="42"/>
      <c r="C14" s="25"/>
      <c r="D14" s="42"/>
      <c r="E14" s="25" t="str">
        <f aca="false">IF(D14=0,"",B14-D14)</f>
        <v/>
      </c>
      <c r="F14" s="30" t="str">
        <f aca="false">IF(OR($C$16=0,B14=""),"",B14/$C$16)</f>
        <v/>
      </c>
    </row>
    <row r="15" customFormat="false" ht="15" hidden="false" customHeight="false" outlineLevel="0" collapsed="false">
      <c r="A15" s="43" t="s">
        <v>71</v>
      </c>
      <c r="B15" s="35"/>
      <c r="C15" s="44" t="n">
        <f aca="false">SUM(B11:B14)</f>
        <v>0</v>
      </c>
      <c r="D15" s="44" t="n">
        <f aca="false">SUM(D11:D14)</f>
        <v>0</v>
      </c>
      <c r="E15" s="44" t="str">
        <f aca="false">IF(D15=0,"",C15-D15)</f>
        <v/>
      </c>
      <c r="F15" s="45" t="str">
        <f aca="false">IF(OR($C$16=0,C15=""),"",C15/$C$16)</f>
        <v/>
      </c>
    </row>
    <row r="16" customFormat="false" ht="15" hidden="false" customHeight="false" outlineLevel="0" collapsed="false">
      <c r="A16" s="26" t="s">
        <v>72</v>
      </c>
      <c r="B16" s="26"/>
      <c r="C16" s="46" t="n">
        <f aca="false">C9+C15</f>
        <v>0</v>
      </c>
      <c r="D16" s="46" t="n">
        <f aca="false">D9+D15</f>
        <v>0</v>
      </c>
      <c r="E16" s="46" t="str">
        <f aca="false">IF(D16=0,"",C16-D16)</f>
        <v/>
      </c>
      <c r="F16" s="47" t="str">
        <f aca="false">IF($C$16=0,"",1)</f>
        <v/>
      </c>
    </row>
    <row r="17" customFormat="false" ht="18" hidden="false" customHeight="true" outlineLevel="0" collapsed="false">
      <c r="A17" s="31" t="s">
        <v>73</v>
      </c>
      <c r="B17" s="31"/>
      <c r="C17" s="31"/>
      <c r="D17" s="31"/>
      <c r="E17" s="31"/>
      <c r="F17" s="31"/>
    </row>
    <row r="18" customFormat="false" ht="15" hidden="false" customHeight="false" outlineLevel="0" collapsed="false">
      <c r="A18" s="41" t="str">
        <f aca="false">IF(Június!A18="","",Június!A18)</f>
        <v>Vésztartalék</v>
      </c>
      <c r="B18" s="42"/>
      <c r="C18" s="25"/>
      <c r="D18" s="42"/>
      <c r="E18" s="25" t="str">
        <f aca="false">IF(D18=0,"",B18-D18)</f>
        <v/>
      </c>
      <c r="F18" s="30" t="str">
        <f aca="false">IF(OR($C$28=0,B18=""),"",B18/$C$28)</f>
        <v/>
      </c>
    </row>
    <row r="19" customFormat="false" ht="15" hidden="false" customHeight="false" outlineLevel="0" collapsed="false">
      <c r="A19" s="41" t="str">
        <f aca="false">IF(Június!A19="","",Június!A19)</f>
        <v>Lakástakarékpénztár</v>
      </c>
      <c r="B19" s="42"/>
      <c r="C19" s="25"/>
      <c r="D19" s="42"/>
      <c r="E19" s="25" t="str">
        <f aca="false">IF(D19=0,"",B19-D19)</f>
        <v/>
      </c>
      <c r="F19" s="30" t="str">
        <f aca="false">IF(OR($C$28=0,B19=""),"",B19/$C$28)</f>
        <v/>
      </c>
    </row>
    <row r="20" customFormat="false" ht="15" hidden="false" customHeight="false" outlineLevel="0" collapsed="false">
      <c r="A20" s="41" t="str">
        <f aca="false">IF(Június!A20="","",Június!A20)</f>
        <v>Általános cél</v>
      </c>
      <c r="B20" s="42"/>
      <c r="C20" s="25"/>
      <c r="D20" s="42"/>
      <c r="E20" s="25" t="str">
        <f aca="false">IF(D20=0,"",B20-D20)</f>
        <v/>
      </c>
      <c r="F20" s="30" t="str">
        <f aca="false">IF(OR($C$28=0,B20=""),"",B20/$C$28)</f>
        <v/>
      </c>
    </row>
    <row r="21" customFormat="false" ht="15" hidden="false" customHeight="false" outlineLevel="0" collapsed="false">
      <c r="A21" s="41" t="str">
        <f aca="false">IF(Június!A21="","",Június!A21)</f>
        <v>Hosszú távú (min. 10 éves, általános célú)</v>
      </c>
      <c r="B21" s="42"/>
      <c r="C21" s="25"/>
      <c r="D21" s="42"/>
      <c r="E21" s="25" t="str">
        <f aca="false">IF(D21=0,"",B21-D21)</f>
        <v/>
      </c>
      <c r="F21" s="30" t="str">
        <f aca="false">IF(OR($C$28=0,B21=""),"",B21/$C$28)</f>
        <v/>
      </c>
    </row>
    <row r="22" customFormat="false" ht="15" hidden="false" customHeight="false" outlineLevel="0" collapsed="false">
      <c r="A22" s="41" t="str">
        <f aca="false">IF(Június!A22="","",Június!A22)</f>
        <v>Hosszú távú (min. 10 éves, lakás célú)</v>
      </c>
      <c r="B22" s="42"/>
      <c r="C22" s="25"/>
      <c r="D22" s="42"/>
      <c r="E22" s="25" t="str">
        <f aca="false">IF(D22=0,"",B22-D22)</f>
        <v/>
      </c>
      <c r="F22" s="30" t="str">
        <f aca="false">IF(OR($C$28=0,B22=""),"",B22/$C$28)</f>
        <v/>
      </c>
    </row>
    <row r="23" customFormat="false" ht="15" hidden="false" customHeight="false" outlineLevel="0" collapsed="false">
      <c r="A23" s="41" t="str">
        <f aca="false">IF(Június!A23="","",Június!A23)</f>
        <v>Hosszú távú (min. 10 éves, gyermek jövője célú)</v>
      </c>
      <c r="B23" s="42"/>
      <c r="C23" s="25"/>
      <c r="D23" s="42"/>
      <c r="E23" s="25" t="str">
        <f aca="false">IF(D23=0,"",B23-D23)</f>
        <v/>
      </c>
      <c r="F23" s="30" t="str">
        <f aca="false">IF(OR($C$28=0,B23=""),"",B23/$C$28)</f>
        <v/>
      </c>
    </row>
    <row r="24" customFormat="false" ht="15" hidden="false" customHeight="false" outlineLevel="0" collapsed="false">
      <c r="A24" s="41" t="str">
        <f aca="false">IF(Június!A24="","",Június!A24)</f>
        <v>Hosszú távú (min. 15 éves, nyugdíj célú)</v>
      </c>
      <c r="B24" s="42"/>
      <c r="C24" s="25"/>
      <c r="D24" s="42"/>
      <c r="E24" s="25" t="str">
        <f aca="false">IF(D24=0,"",B24-D24)</f>
        <v/>
      </c>
      <c r="F24" s="30" t="str">
        <f aca="false">IF(OR($C$28=0,B24=""),"",B24/$C$28)</f>
        <v/>
      </c>
    </row>
    <row r="25" customFormat="false" ht="15" hidden="false" customHeight="false" outlineLevel="0" collapsed="false">
      <c r="A25" s="41" t="str">
        <f aca="false">IF(Június!A25="","",Június!A25)</f>
        <v>Nyugdíjbiztosítás</v>
      </c>
      <c r="B25" s="42"/>
      <c r="C25" s="25"/>
      <c r="D25" s="42"/>
      <c r="E25" s="25" t="str">
        <f aca="false">IF(D25=0,"",B25-D25)</f>
        <v/>
      </c>
      <c r="F25" s="30" t="str">
        <f aca="false">IF(OR($C$28=0,B25=""),"",B25/$C$28)</f>
        <v/>
      </c>
    </row>
    <row r="26" customFormat="false" ht="15" hidden="false" customHeight="false" outlineLevel="0" collapsed="false">
      <c r="A26" s="41" t="str">
        <f aca="false">IF(Június!A26="","",Június!A26)</f>
        <v/>
      </c>
      <c r="B26" s="42"/>
      <c r="C26" s="25"/>
      <c r="D26" s="42"/>
      <c r="E26" s="25" t="str">
        <f aca="false">IF(D26=0,"",B26-D26)</f>
        <v/>
      </c>
      <c r="F26" s="30" t="str">
        <f aca="false">IF(OR($C$28=0,B26=""),"",B26/$C$28)</f>
        <v/>
      </c>
    </row>
    <row r="27" customFormat="false" ht="15" hidden="false" customHeight="false" outlineLevel="0" collapsed="false">
      <c r="A27" s="41" t="str">
        <f aca="false">IF(Június!A27="","",Június!A27)</f>
        <v/>
      </c>
      <c r="B27" s="42"/>
      <c r="C27" s="25"/>
      <c r="D27" s="42"/>
      <c r="E27" s="25" t="str">
        <f aca="false">IF(D27=0,"",B27-D27)</f>
        <v/>
      </c>
      <c r="F27" s="30" t="str">
        <f aca="false">IF(OR($C$28=0,B27=""),"",B27/$C$28)</f>
        <v/>
      </c>
    </row>
    <row r="28" customFormat="false" ht="15" hidden="false" customHeight="false" outlineLevel="0" collapsed="false">
      <c r="A28" s="31" t="s">
        <v>82</v>
      </c>
      <c r="B28" s="31"/>
      <c r="C28" s="48" t="n">
        <f aca="false">SUM(B18:B27)</f>
        <v>0</v>
      </c>
      <c r="D28" s="48" t="n">
        <f aca="false">SUM(D18:D27)</f>
        <v>0</v>
      </c>
      <c r="E28" s="48" t="str">
        <f aca="false">IF(D28=0,"",C28-D28)</f>
        <v/>
      </c>
      <c r="F28" s="49" t="str">
        <f aca="false">IF($C$16=0,"",C28/$C$16)</f>
        <v/>
      </c>
    </row>
    <row r="29" customFormat="false" ht="18" hidden="false" customHeight="true" outlineLevel="0" collapsed="false">
      <c r="A29" s="33" t="s">
        <v>83</v>
      </c>
      <c r="B29" s="33"/>
      <c r="C29" s="33"/>
      <c r="D29" s="33"/>
      <c r="E29" s="33"/>
      <c r="F29" s="33"/>
    </row>
    <row r="30" customFormat="false" ht="15" hidden="false" customHeight="false" outlineLevel="0" collapsed="false">
      <c r="A30" s="39" t="s">
        <v>43</v>
      </c>
      <c r="B30" s="40"/>
      <c r="C30" s="40"/>
      <c r="D30" s="40"/>
      <c r="E30" s="40"/>
      <c r="F30" s="40"/>
    </row>
    <row r="31" customFormat="false" ht="15" hidden="false" customHeight="false" outlineLevel="0" collapsed="false">
      <c r="A31" s="41" t="str">
        <f aca="false">IF(Június!A31="","",Június!A31)</f>
        <v>Albérleti díj / lakáshitel</v>
      </c>
      <c r="B31" s="42"/>
      <c r="C31" s="25"/>
      <c r="D31" s="42"/>
      <c r="E31" s="25" t="str">
        <f aca="false">IF(D31=0,"",D31-B31)</f>
        <v/>
      </c>
      <c r="F31" s="30" t="str">
        <f aca="false">IF(OR($C$118=0,B31=""),"",B31/$C$118)</f>
        <v/>
      </c>
    </row>
    <row r="32" customFormat="false" ht="15" hidden="false" customHeight="false" outlineLevel="0" collapsed="false">
      <c r="A32" s="41" t="str">
        <f aca="false">IF(Június!A32="","",Június!A32)</f>
        <v>Rezsi (közművek, közös költség)</v>
      </c>
      <c r="B32" s="42"/>
      <c r="C32" s="25"/>
      <c r="D32" s="42"/>
      <c r="E32" s="25" t="str">
        <f aca="false">IF(D32=0,"",D32-B32)</f>
        <v/>
      </c>
      <c r="F32" s="30" t="str">
        <f aca="false">IF(OR($C$118=0,B32=""),"",B32/$C$118)</f>
        <v/>
      </c>
    </row>
    <row r="33" customFormat="false" ht="15" hidden="false" customHeight="false" outlineLevel="0" collapsed="false">
      <c r="A33" s="41" t="str">
        <f aca="false">IF(Június!A33="","",Június!A33)</f>
        <v>Telefon, internet, digitális előfizetések</v>
      </c>
      <c r="B33" s="42"/>
      <c r="C33" s="25"/>
      <c r="D33" s="42"/>
      <c r="E33" s="25" t="str">
        <f aca="false">IF(D33=0,"",D33-B33)</f>
        <v/>
      </c>
      <c r="F33" s="30" t="str">
        <f aca="false">IF(OR($C$118=0,B33=""),"",B33/$C$118)</f>
        <v/>
      </c>
    </row>
    <row r="34" customFormat="false" ht="15" hidden="false" customHeight="false" outlineLevel="0" collapsed="false">
      <c r="A34" s="41" t="str">
        <f aca="false">IF(Június!A34="","",Június!A34)</f>
        <v/>
      </c>
      <c r="B34" s="42"/>
      <c r="C34" s="25"/>
      <c r="D34" s="42"/>
      <c r="E34" s="25" t="str">
        <f aca="false">IF(D34=0,"",D34-B34)</f>
        <v/>
      </c>
      <c r="F34" s="30" t="str">
        <f aca="false">IF(OR($C$118=0,B34=""),"",B34/$C$118)</f>
        <v/>
      </c>
    </row>
    <row r="35" customFormat="false" ht="15" hidden="false" customHeight="false" outlineLevel="0" collapsed="false">
      <c r="A35" s="43" t="s">
        <v>87</v>
      </c>
      <c r="B35" s="35"/>
      <c r="C35" s="44" t="n">
        <f aca="false">SUM(B31:B34)</f>
        <v>0</v>
      </c>
      <c r="D35" s="44" t="n">
        <f aca="false">SUM(D31:D34)</f>
        <v>0</v>
      </c>
      <c r="E35" s="44" t="str">
        <f aca="false">IF(D35=0,"",D35-C35)</f>
        <v/>
      </c>
      <c r="F35" s="45" t="str">
        <f aca="false">IF(OR($C$118=0,C35=""),"",C35/$C$118)</f>
        <v/>
      </c>
    </row>
    <row r="36" customFormat="false" ht="15" hidden="false" customHeight="false" outlineLevel="0" collapsed="false">
      <c r="A36" s="39" t="s">
        <v>44</v>
      </c>
      <c r="B36" s="40"/>
      <c r="C36" s="40"/>
      <c r="D36" s="40"/>
      <c r="E36" s="40"/>
      <c r="F36" s="40"/>
    </row>
    <row r="37" customFormat="false" ht="15" hidden="false" customHeight="false" outlineLevel="0" collapsed="false">
      <c r="A37" s="41" t="str">
        <f aca="false">IF(Június!A37="","",Június!A37)</f>
        <v>Nagybevásárlások</v>
      </c>
      <c r="B37" s="42"/>
      <c r="C37" s="25"/>
      <c r="D37" s="42"/>
      <c r="E37" s="25" t="str">
        <f aca="false">IF(D37=0,"",D37-B37)</f>
        <v/>
      </c>
      <c r="F37" s="30" t="str">
        <f aca="false">IF(OR($C$118=0,B37=""),"",B37/$C$118)</f>
        <v/>
      </c>
    </row>
    <row r="38" customFormat="false" ht="15" hidden="false" customHeight="false" outlineLevel="0" collapsed="false">
      <c r="A38" s="41" t="str">
        <f aca="false">IF(Június!A38="","",Június!A38)</f>
        <v>Drogéria</v>
      </c>
      <c r="B38" s="42"/>
      <c r="C38" s="25"/>
      <c r="D38" s="42"/>
      <c r="E38" s="25" t="str">
        <f aca="false">IF(D38=0,"",D38-B38)</f>
        <v/>
      </c>
      <c r="F38" s="30" t="str">
        <f aca="false">IF(OR($C$118=0,B38=""),"",B38/$C$118)</f>
        <v/>
      </c>
    </row>
    <row r="39" customFormat="false" ht="15" hidden="false" customHeight="false" outlineLevel="0" collapsed="false">
      <c r="A39" s="41" t="str">
        <f aca="false">IF(Június!A39="","",Június!A39)</f>
        <v>Ételrendelés</v>
      </c>
      <c r="B39" s="42"/>
      <c r="C39" s="25"/>
      <c r="D39" s="42"/>
      <c r="E39" s="25" t="str">
        <f aca="false">IF(D39=0,"",D39-B39)</f>
        <v/>
      </c>
      <c r="F39" s="30" t="str">
        <f aca="false">IF(OR($C$118=0,B39=""),"",B39/$C$118)</f>
        <v/>
      </c>
    </row>
    <row r="40" customFormat="false" ht="15" hidden="false" customHeight="false" outlineLevel="0" collapsed="false">
      <c r="A40" s="41" t="str">
        <f aca="false">IF(Június!A40="","",Június!A40)</f>
        <v>Egyéb élelmiszer, bevásárlás</v>
      </c>
      <c r="B40" s="42"/>
      <c r="C40" s="25"/>
      <c r="D40" s="42"/>
      <c r="E40" s="25" t="str">
        <f aca="false">IF(D40=0,"",D40-B40)</f>
        <v/>
      </c>
      <c r="F40" s="30" t="str">
        <f aca="false">IF(OR($C$118=0,B40=""),"",B40/$C$118)</f>
        <v/>
      </c>
    </row>
    <row r="41" customFormat="false" ht="15" hidden="false" customHeight="false" outlineLevel="0" collapsed="false">
      <c r="A41" s="41" t="str">
        <f aca="false">IF(Június!A41="","",Június!A41)</f>
        <v/>
      </c>
      <c r="B41" s="42"/>
      <c r="C41" s="25"/>
      <c r="D41" s="42"/>
      <c r="E41" s="25" t="str">
        <f aca="false">IF(D41=0,"",D41-B41)</f>
        <v/>
      </c>
      <c r="F41" s="30" t="str">
        <f aca="false">IF(OR($C$118=0,B41=""),"",B41/$C$118)</f>
        <v/>
      </c>
    </row>
    <row r="42" customFormat="false" ht="15" hidden="false" customHeight="false" outlineLevel="0" collapsed="false">
      <c r="A42" s="43" t="s">
        <v>92</v>
      </c>
      <c r="B42" s="35"/>
      <c r="C42" s="44" t="n">
        <f aca="false">SUM(B37:B41)</f>
        <v>0</v>
      </c>
      <c r="D42" s="44" t="n">
        <f aca="false">SUM(D37:D41)</f>
        <v>0</v>
      </c>
      <c r="E42" s="44" t="str">
        <f aca="false">IF(D42=0,"",D42-C42)</f>
        <v/>
      </c>
      <c r="F42" s="45" t="str">
        <f aca="false">IF(OR($C$118=0,C42=""),"",C42/$C$118)</f>
        <v/>
      </c>
    </row>
    <row r="43" customFormat="false" ht="15" hidden="false" customHeight="false" outlineLevel="0" collapsed="false">
      <c r="A43" s="39" t="s">
        <v>45</v>
      </c>
      <c r="B43" s="40"/>
      <c r="C43" s="40"/>
      <c r="D43" s="40"/>
      <c r="E43" s="40"/>
      <c r="F43" s="40"/>
    </row>
    <row r="44" customFormat="false" ht="15" hidden="false" customHeight="false" outlineLevel="0" collapsed="false">
      <c r="A44" s="41" t="str">
        <f aca="false">IF(Június!A44="","",Június!A44)</f>
        <v>Lakásbiztosítás</v>
      </c>
      <c r="B44" s="42"/>
      <c r="C44" s="25"/>
      <c r="D44" s="42"/>
      <c r="E44" s="25" t="str">
        <f aca="false">IF(D44=0,"",D44-B44)</f>
        <v/>
      </c>
      <c r="F44" s="30" t="str">
        <f aca="false">IF(OR($C$118=0,B44=""),"",B44/$C$118)</f>
        <v/>
      </c>
    </row>
    <row r="45" customFormat="false" ht="15" hidden="false" customHeight="false" outlineLevel="0" collapsed="false">
      <c r="A45" s="41" t="str">
        <f aca="false">IF(Június!A45="","",Június!A45)</f>
        <v>Életbiztosítás</v>
      </c>
      <c r="B45" s="42"/>
      <c r="C45" s="25"/>
      <c r="D45" s="42"/>
      <c r="E45" s="25" t="str">
        <f aca="false">IF(D45=0,"",D45-B45)</f>
        <v/>
      </c>
      <c r="F45" s="30" t="str">
        <f aca="false">IF(OR($C$118=0,B45=""),"",B45/$C$118)</f>
        <v/>
      </c>
    </row>
    <row r="46" customFormat="false" ht="15" hidden="false" customHeight="false" outlineLevel="0" collapsed="false">
      <c r="A46" s="41" t="str">
        <f aca="false">IF(Június!A46="","",Június!A46)</f>
        <v>Baleset- és betegségbiztosítás</v>
      </c>
      <c r="B46" s="42"/>
      <c r="C46" s="25"/>
      <c r="D46" s="42"/>
      <c r="E46" s="25" t="str">
        <f aca="false">IF(D46=0,"",D46-B46)</f>
        <v/>
      </c>
      <c r="F46" s="30" t="str">
        <f aca="false">IF(OR($C$118=0,B46=""),"",B46/$C$118)</f>
        <v/>
      </c>
    </row>
    <row r="47" customFormat="false" ht="15" hidden="false" customHeight="false" outlineLevel="0" collapsed="false">
      <c r="A47" s="41" t="str">
        <f aca="false">IF(Június!A47="","",Június!A47)</f>
        <v>Egészségbiztosítás</v>
      </c>
      <c r="B47" s="42"/>
      <c r="C47" s="25"/>
      <c r="D47" s="42"/>
      <c r="E47" s="25" t="str">
        <f aca="false">IF(D47=0,"",D47-B47)</f>
        <v/>
      </c>
      <c r="F47" s="30" t="str">
        <f aca="false">IF(OR($C$118=0,B47=""),"",B47/$C$118)</f>
        <v/>
      </c>
    </row>
    <row r="48" customFormat="false" ht="15" hidden="false" customHeight="false" outlineLevel="0" collapsed="false">
      <c r="A48" s="41" t="str">
        <f aca="false">IF(Június!A48="","",Június!A48)</f>
        <v>Hiteltörlesztés</v>
      </c>
      <c r="B48" s="42"/>
      <c r="C48" s="25"/>
      <c r="D48" s="42"/>
      <c r="E48" s="25" t="str">
        <f aca="false">IF(D48=0,"",D48-B48)</f>
        <v/>
      </c>
      <c r="F48" s="30" t="str">
        <f aca="false">IF(OR($C$118=0,B48=""),"",B48/$C$118)</f>
        <v/>
      </c>
    </row>
    <row r="49" customFormat="false" ht="15" hidden="false" customHeight="false" outlineLevel="0" collapsed="false">
      <c r="A49" s="41" t="str">
        <f aca="false">IF(Június!A49="","",Június!A49)</f>
        <v>Egyéb szerződés</v>
      </c>
      <c r="B49" s="42"/>
      <c r="C49" s="25"/>
      <c r="D49" s="42"/>
      <c r="E49" s="25" t="str">
        <f aca="false">IF(D49=0,"",D49-B49)</f>
        <v/>
      </c>
      <c r="F49" s="30" t="str">
        <f aca="false">IF(OR($C$118=0,B49=""),"",B49/$C$118)</f>
        <v/>
      </c>
    </row>
    <row r="50" customFormat="false" ht="15" hidden="false" customHeight="false" outlineLevel="0" collapsed="false">
      <c r="A50" s="41" t="str">
        <f aca="false">IF(Június!A50="","",Június!A50)</f>
        <v/>
      </c>
      <c r="B50" s="42"/>
      <c r="C50" s="25"/>
      <c r="D50" s="42"/>
      <c r="E50" s="25" t="str">
        <f aca="false">IF(D50=0,"",D50-B50)</f>
        <v/>
      </c>
      <c r="F50" s="30" t="str">
        <f aca="false">IF(OR($C$118=0,B50=""),"",B50/$C$118)</f>
        <v/>
      </c>
    </row>
    <row r="51" customFormat="false" ht="15" hidden="false" customHeight="false" outlineLevel="0" collapsed="false">
      <c r="A51" s="41" t="str">
        <f aca="false">IF(Június!A51="","",Június!A51)</f>
        <v/>
      </c>
      <c r="B51" s="42"/>
      <c r="C51" s="25"/>
      <c r="D51" s="42"/>
      <c r="E51" s="25" t="str">
        <f aca="false">IF(D51=0,"",D51-B51)</f>
        <v/>
      </c>
      <c r="F51" s="30" t="str">
        <f aca="false">IF(OR($C$118=0,B51=""),"",B51/$C$118)</f>
        <v/>
      </c>
    </row>
    <row r="52" customFormat="false" ht="15" hidden="false" customHeight="false" outlineLevel="0" collapsed="false">
      <c r="A52" s="43" t="s">
        <v>99</v>
      </c>
      <c r="B52" s="35"/>
      <c r="C52" s="44" t="n">
        <f aca="false">SUM(B44:B51)</f>
        <v>0</v>
      </c>
      <c r="D52" s="44" t="n">
        <f aca="false">SUM(D44:D51)</f>
        <v>0</v>
      </c>
      <c r="E52" s="44" t="str">
        <f aca="false">IF(D52=0,"",D52-C52)</f>
        <v/>
      </c>
      <c r="F52" s="45" t="str">
        <f aca="false">IF(OR($C$118=0,C52=""),"",C52/$C$118)</f>
        <v/>
      </c>
    </row>
    <row r="53" customFormat="false" ht="15" hidden="false" customHeight="false" outlineLevel="0" collapsed="false">
      <c r="A53" s="39" t="s">
        <v>46</v>
      </c>
      <c r="B53" s="40"/>
      <c r="C53" s="40"/>
      <c r="D53" s="40"/>
      <c r="E53" s="40"/>
      <c r="F53" s="40"/>
    </row>
    <row r="54" customFormat="false" ht="15" hidden="false" customHeight="false" outlineLevel="0" collapsed="false">
      <c r="A54" s="41" t="str">
        <f aca="false">IF(Június!A54="","",Június!A54)</f>
        <v>Üzemanyag, elektromos töltés</v>
      </c>
      <c r="B54" s="42"/>
      <c r="C54" s="25"/>
      <c r="D54" s="42"/>
      <c r="E54" s="25" t="str">
        <f aca="false">IF(D54=0,"",D54-B54)</f>
        <v/>
      </c>
      <c r="F54" s="30" t="str">
        <f aca="false">IF(OR($C$118=0,B54=""),"",B54/$C$118)</f>
        <v/>
      </c>
    </row>
    <row r="55" customFormat="false" ht="15" hidden="false" customHeight="false" outlineLevel="0" collapsed="false">
      <c r="A55" s="41" t="str">
        <f aca="false">IF(Június!A55="","",Június!A55)</f>
        <v>Parkolás, útdíj, autópálya-matrica</v>
      </c>
      <c r="B55" s="42"/>
      <c r="C55" s="25"/>
      <c r="D55" s="42"/>
      <c r="E55" s="25" t="str">
        <f aca="false">IF(D55=0,"",D55-B55)</f>
        <v/>
      </c>
      <c r="F55" s="30" t="str">
        <f aca="false">IF(OR($C$118=0,B55=""),"",B55/$C$118)</f>
        <v/>
      </c>
    </row>
    <row r="56" customFormat="false" ht="15" hidden="false" customHeight="false" outlineLevel="0" collapsed="false">
      <c r="A56" s="41" t="str">
        <f aca="false">IF(Június!A56="","",Június!A56)</f>
        <v>Szerviz, karbantartás, gumicsere</v>
      </c>
      <c r="B56" s="42"/>
      <c r="C56" s="25"/>
      <c r="D56" s="42"/>
      <c r="E56" s="25" t="str">
        <f aca="false">IF(D56=0,"",D56-B56)</f>
        <v/>
      </c>
      <c r="F56" s="30" t="str">
        <f aca="false">IF(OR($C$118=0,B56=""),"",B56/$C$118)</f>
        <v/>
      </c>
    </row>
    <row r="57" customFormat="false" ht="15" hidden="false" customHeight="false" outlineLevel="0" collapsed="false">
      <c r="A57" s="41" t="str">
        <f aca="false">IF(Június!A57="","",Június!A57)</f>
        <v>KGFB (kötelező biztosítás)</v>
      </c>
      <c r="B57" s="42"/>
      <c r="C57" s="25"/>
      <c r="D57" s="42"/>
      <c r="E57" s="25" t="str">
        <f aca="false">IF(D57=0,"",D57-B57)</f>
        <v/>
      </c>
      <c r="F57" s="30" t="str">
        <f aca="false">IF(OR($C$118=0,B57=""),"",B57/$C$118)</f>
        <v/>
      </c>
    </row>
    <row r="58" customFormat="false" ht="15" hidden="false" customHeight="false" outlineLevel="0" collapsed="false">
      <c r="A58" s="41" t="str">
        <f aca="false">IF(Június!A58="","",Június!A58)</f>
        <v>CASCO</v>
      </c>
      <c r="B58" s="42"/>
      <c r="C58" s="25"/>
      <c r="D58" s="42"/>
      <c r="E58" s="25" t="str">
        <f aca="false">IF(D58=0,"",D58-B58)</f>
        <v/>
      </c>
      <c r="F58" s="30" t="str">
        <f aca="false">IF(OR($C$118=0,B58=""),"",B58/$C$118)</f>
        <v/>
      </c>
    </row>
    <row r="59" customFormat="false" ht="15" hidden="false" customHeight="false" outlineLevel="0" collapsed="false">
      <c r="A59" s="41" t="str">
        <f aca="false">IF(Június!A59="","",Június!A59)</f>
        <v>Gépjárműadó</v>
      </c>
      <c r="B59" s="42"/>
      <c r="C59" s="25"/>
      <c r="D59" s="42"/>
      <c r="E59" s="25" t="str">
        <f aca="false">IF(D59=0,"",D59-B59)</f>
        <v/>
      </c>
      <c r="F59" s="30" t="str">
        <f aca="false">IF(OR($C$118=0,B59=""),"",B59/$C$118)</f>
        <v/>
      </c>
    </row>
    <row r="60" customFormat="false" ht="15" hidden="false" customHeight="false" outlineLevel="0" collapsed="false">
      <c r="A60" s="41" t="str">
        <f aca="false">IF(Június!A60="","",Június!A60)</f>
        <v>Autóhitel, lízing részlet</v>
      </c>
      <c r="B60" s="42"/>
      <c r="C60" s="25"/>
      <c r="D60" s="42"/>
      <c r="E60" s="25" t="str">
        <f aca="false">IF(D60=0,"",D60-B60)</f>
        <v/>
      </c>
      <c r="F60" s="30" t="str">
        <f aca="false">IF(OR($C$118=0,B60=""),"",B60/$C$118)</f>
        <v/>
      </c>
    </row>
    <row r="61" customFormat="false" ht="15" hidden="false" customHeight="false" outlineLevel="0" collapsed="false">
      <c r="A61" s="41" t="str">
        <f aca="false">IF(Június!A61="","",Június!A61)</f>
        <v>Autómosás, egyéb autós költség</v>
      </c>
      <c r="B61" s="42"/>
      <c r="C61" s="25"/>
      <c r="D61" s="42"/>
      <c r="E61" s="25" t="str">
        <f aca="false">IF(D61=0,"",D61-B61)</f>
        <v/>
      </c>
      <c r="F61" s="30" t="str">
        <f aca="false">IF(OR($C$118=0,B61=""),"",B61/$C$118)</f>
        <v/>
      </c>
    </row>
    <row r="62" customFormat="false" ht="15" hidden="false" customHeight="false" outlineLevel="0" collapsed="false">
      <c r="A62" s="41" t="str">
        <f aca="false">IF(Június!A62="","",Június!A62)</f>
        <v>Tömegközlekedés, bérlet</v>
      </c>
      <c r="B62" s="42"/>
      <c r="C62" s="25"/>
      <c r="D62" s="42"/>
      <c r="E62" s="25" t="str">
        <f aca="false">IF(D62=0,"",D62-B62)</f>
        <v/>
      </c>
      <c r="F62" s="30" t="str">
        <f aca="false">IF(OR($C$118=0,B62=""),"",B62/$C$118)</f>
        <v/>
      </c>
    </row>
    <row r="63" customFormat="false" ht="15" hidden="false" customHeight="false" outlineLevel="0" collapsed="false">
      <c r="A63" s="41" t="str">
        <f aca="false">IF(Június!A63="","",Június!A63)</f>
        <v>Taxi, roller, bicikli, közösségi közlekedés</v>
      </c>
      <c r="B63" s="42"/>
      <c r="C63" s="25"/>
      <c r="D63" s="42"/>
      <c r="E63" s="25" t="str">
        <f aca="false">IF(D63=0,"",D63-B63)</f>
        <v/>
      </c>
      <c r="F63" s="30" t="str">
        <f aca="false">IF(OR($C$118=0,B63=""),"",B63/$C$118)</f>
        <v/>
      </c>
    </row>
    <row r="64" customFormat="false" ht="15" hidden="false" customHeight="false" outlineLevel="0" collapsed="false">
      <c r="A64" s="41" t="str">
        <f aca="false">IF(Június!A64="","",Június!A64)</f>
        <v/>
      </c>
      <c r="B64" s="42"/>
      <c r="C64" s="25"/>
      <c r="D64" s="42"/>
      <c r="E64" s="25" t="str">
        <f aca="false">IF(D64=0,"",D64-B64)</f>
        <v/>
      </c>
      <c r="F64" s="30" t="str">
        <f aca="false">IF(OR($C$118=0,B64=""),"",B64/$C$118)</f>
        <v/>
      </c>
    </row>
    <row r="65" customFormat="false" ht="15" hidden="false" customHeight="false" outlineLevel="0" collapsed="false">
      <c r="A65" s="41" t="str">
        <f aca="false">IF(Június!A65="","",Június!A65)</f>
        <v/>
      </c>
      <c r="B65" s="42"/>
      <c r="C65" s="25"/>
      <c r="D65" s="42"/>
      <c r="E65" s="25" t="str">
        <f aca="false">IF(D65=0,"",D65-B65)</f>
        <v/>
      </c>
      <c r="F65" s="30" t="str">
        <f aca="false">IF(OR($C$118=0,B65=""),"",B65/$C$118)</f>
        <v/>
      </c>
    </row>
    <row r="66" customFormat="false" ht="15" hidden="false" customHeight="false" outlineLevel="0" collapsed="false">
      <c r="A66" s="43" t="s">
        <v>110</v>
      </c>
      <c r="B66" s="35"/>
      <c r="C66" s="44" t="n">
        <f aca="false">SUM(B54:B65)</f>
        <v>0</v>
      </c>
      <c r="D66" s="44" t="n">
        <f aca="false">SUM(D54:D65)</f>
        <v>0</v>
      </c>
      <c r="E66" s="44" t="str">
        <f aca="false">IF(D66=0,"",D66-C66)</f>
        <v/>
      </c>
      <c r="F66" s="45" t="str">
        <f aca="false">IF(OR($C$118=0,C66=""),"",C66/$C$118)</f>
        <v/>
      </c>
    </row>
    <row r="67" customFormat="false" ht="15" hidden="false" customHeight="false" outlineLevel="0" collapsed="false">
      <c r="A67" s="39" t="s">
        <v>47</v>
      </c>
      <c r="B67" s="40"/>
      <c r="C67" s="40"/>
      <c r="D67" s="40"/>
      <c r="E67" s="40"/>
      <c r="F67" s="40"/>
    </row>
    <row r="68" customFormat="false" ht="15" hidden="false" customHeight="false" outlineLevel="0" collapsed="false">
      <c r="A68" s="41" t="str">
        <f aca="false">IF(Június!A68="","",Június!A68)</f>
        <v>Gyerek ruha, cipő</v>
      </c>
      <c r="B68" s="42"/>
      <c r="C68" s="25"/>
      <c r="D68" s="42"/>
      <c r="E68" s="25" t="str">
        <f aca="false">IF(D68=0,"",D68-B68)</f>
        <v/>
      </c>
      <c r="F68" s="30" t="str">
        <f aca="false">IF(OR($C$118=0,B68=""),"",B68/$C$118)</f>
        <v/>
      </c>
    </row>
    <row r="69" customFormat="false" ht="15" hidden="false" customHeight="false" outlineLevel="0" collapsed="false">
      <c r="A69" s="41" t="str">
        <f aca="false">IF(Június!A69="","",Június!A69)</f>
        <v>Gyerek étkeztetés (menza)</v>
      </c>
      <c r="B69" s="42"/>
      <c r="C69" s="25"/>
      <c r="D69" s="42"/>
      <c r="E69" s="25" t="str">
        <f aca="false">IF(D69=0,"",D69-B69)</f>
        <v/>
      </c>
      <c r="F69" s="30" t="str">
        <f aca="false">IF(OR($C$118=0,B69=""),"",B69/$C$118)</f>
        <v/>
      </c>
    </row>
    <row r="70" customFormat="false" ht="15" hidden="false" customHeight="false" outlineLevel="0" collapsed="false">
      <c r="A70" s="41" t="str">
        <f aca="false">IF(Június!A70="","",Június!A70)</f>
        <v>Bölcsőde, óvoda, iskola díjai</v>
      </c>
      <c r="B70" s="42"/>
      <c r="C70" s="25"/>
      <c r="D70" s="42"/>
      <c r="E70" s="25" t="str">
        <f aca="false">IF(D70=0,"",D70-B70)</f>
        <v/>
      </c>
      <c r="F70" s="30" t="str">
        <f aca="false">IF(OR($C$118=0,B70=""),"",B70/$C$118)</f>
        <v/>
      </c>
    </row>
    <row r="71" customFormat="false" ht="15" hidden="false" customHeight="false" outlineLevel="0" collapsed="false">
      <c r="A71" s="41" t="str">
        <f aca="false">IF(Június!A71="","",Június!A71)</f>
        <v>Tankönyv, tanszer</v>
      </c>
      <c r="B71" s="42"/>
      <c r="C71" s="25"/>
      <c r="D71" s="42"/>
      <c r="E71" s="25" t="str">
        <f aca="false">IF(D71=0,"",D71-B71)</f>
        <v/>
      </c>
      <c r="F71" s="30" t="str">
        <f aca="false">IF(OR($C$118=0,B71=""),"",B71/$C$118)</f>
        <v/>
      </c>
    </row>
    <row r="72" customFormat="false" ht="15" hidden="false" customHeight="false" outlineLevel="0" collapsed="false">
      <c r="A72" s="41" t="str">
        <f aca="false">IF(Június!A72="","",Június!A72)</f>
        <v>Különórák, edzések</v>
      </c>
      <c r="B72" s="42"/>
      <c r="C72" s="25"/>
      <c r="D72" s="42"/>
      <c r="E72" s="25" t="str">
        <f aca="false">IF(D72=0,"",D72-B72)</f>
        <v/>
      </c>
      <c r="F72" s="30" t="str">
        <f aca="false">IF(OR($C$118=0,B72=""),"",B72/$C$118)</f>
        <v/>
      </c>
    </row>
    <row r="73" customFormat="false" ht="15" hidden="false" customHeight="false" outlineLevel="0" collapsed="false">
      <c r="A73" s="41" t="str">
        <f aca="false">IF(Június!A73="","",Június!A73)</f>
        <v>Magánóra, korrepetálás</v>
      </c>
      <c r="B73" s="42"/>
      <c r="C73" s="25"/>
      <c r="D73" s="42"/>
      <c r="E73" s="25" t="str">
        <f aca="false">IF(D73=0,"",D73-B73)</f>
        <v/>
      </c>
      <c r="F73" s="30" t="str">
        <f aca="false">IF(OR($C$118=0,B73=""),"",B73/$C$118)</f>
        <v/>
      </c>
    </row>
    <row r="74" customFormat="false" ht="15" hidden="false" customHeight="false" outlineLevel="0" collapsed="false">
      <c r="A74" s="41" t="str">
        <f aca="false">IF(Június!A74="","",Június!A74)</f>
        <v>Zsebpénz</v>
      </c>
      <c r="B74" s="42"/>
      <c r="C74" s="25"/>
      <c r="D74" s="42"/>
      <c r="E74" s="25" t="str">
        <f aca="false">IF(D74=0,"",D74-B74)</f>
        <v/>
      </c>
      <c r="F74" s="30" t="str">
        <f aca="false">IF(OR($C$118=0,B74=""),"",B74/$C$118)</f>
        <v/>
      </c>
    </row>
    <row r="75" customFormat="false" ht="15" hidden="false" customHeight="false" outlineLevel="0" collapsed="false">
      <c r="A75" s="41" t="str">
        <f aca="false">IF(Június!A75="","",Június!A75)</f>
        <v>Játékok, szórakozás</v>
      </c>
      <c r="B75" s="42"/>
      <c r="C75" s="25"/>
      <c r="D75" s="42"/>
      <c r="E75" s="25" t="str">
        <f aca="false">IF(D75=0,"",D75-B75)</f>
        <v/>
      </c>
      <c r="F75" s="30" t="str">
        <f aca="false">IF(OR($C$118=0,B75=""),"",B75/$C$118)</f>
        <v/>
      </c>
    </row>
    <row r="76" customFormat="false" ht="15" hidden="false" customHeight="false" outlineLevel="0" collapsed="false">
      <c r="A76" s="41" t="str">
        <f aca="false">IF(Június!A76="","",Június!A76)</f>
        <v/>
      </c>
      <c r="B76" s="42"/>
      <c r="C76" s="25"/>
      <c r="D76" s="42"/>
      <c r="E76" s="25" t="str">
        <f aca="false">IF(D76=0,"",D76-B76)</f>
        <v/>
      </c>
      <c r="F76" s="30" t="str">
        <f aca="false">IF(OR($C$118=0,B76=""),"",B76/$C$118)</f>
        <v/>
      </c>
    </row>
    <row r="77" customFormat="false" ht="15" hidden="false" customHeight="false" outlineLevel="0" collapsed="false">
      <c r="A77" s="41" t="str">
        <f aca="false">IF(Június!A77="","",Június!A77)</f>
        <v/>
      </c>
      <c r="B77" s="42"/>
      <c r="C77" s="25"/>
      <c r="D77" s="42"/>
      <c r="E77" s="25" t="str">
        <f aca="false">IF(D77=0,"",D77-B77)</f>
        <v/>
      </c>
      <c r="F77" s="30" t="str">
        <f aca="false">IF(OR($C$118=0,B77=""),"",B77/$C$118)</f>
        <v/>
      </c>
    </row>
    <row r="78" customFormat="false" ht="15" hidden="false" customHeight="false" outlineLevel="0" collapsed="false">
      <c r="A78" s="41" t="str">
        <f aca="false">IF(Június!A78="","",Június!A78)</f>
        <v/>
      </c>
      <c r="B78" s="42"/>
      <c r="C78" s="25"/>
      <c r="D78" s="42"/>
      <c r="E78" s="25" t="str">
        <f aca="false">IF(D78=0,"",D78-B78)</f>
        <v/>
      </c>
      <c r="F78" s="30" t="str">
        <f aca="false">IF(OR($C$118=0,B78=""),"",B78/$C$118)</f>
        <v/>
      </c>
    </row>
    <row r="79" customFormat="false" ht="15" hidden="false" customHeight="false" outlineLevel="0" collapsed="false">
      <c r="A79" s="43" t="s">
        <v>119</v>
      </c>
      <c r="B79" s="35"/>
      <c r="C79" s="44" t="n">
        <f aca="false">SUM(B68:B78)</f>
        <v>0</v>
      </c>
      <c r="D79" s="44" t="n">
        <f aca="false">SUM(D68:D78)</f>
        <v>0</v>
      </c>
      <c r="E79" s="44" t="str">
        <f aca="false">IF(D79=0,"",D79-C79)</f>
        <v/>
      </c>
      <c r="F79" s="45" t="str">
        <f aca="false">IF(OR($C$118=0,C79=""),"",C79/$C$118)</f>
        <v/>
      </c>
    </row>
    <row r="80" customFormat="false" ht="15" hidden="false" customHeight="false" outlineLevel="0" collapsed="false">
      <c r="A80" s="39" t="s">
        <v>48</v>
      </c>
      <c r="B80" s="40"/>
      <c r="C80" s="40"/>
      <c r="D80" s="40"/>
      <c r="E80" s="40"/>
      <c r="F80" s="40"/>
    </row>
    <row r="81" customFormat="false" ht="15" hidden="false" customHeight="false" outlineLevel="0" collapsed="false">
      <c r="A81" s="41" t="str">
        <f aca="false">IF(Június!A81="","",Június!A81)</f>
        <v>Ruha</v>
      </c>
      <c r="B81" s="42"/>
      <c r="C81" s="25"/>
      <c r="D81" s="42"/>
      <c r="E81" s="25" t="str">
        <f aca="false">IF(D81=0,"",D81-B81)</f>
        <v/>
      </c>
      <c r="F81" s="30" t="str">
        <f aca="false">IF(OR($C$118=0,B81=""),"",B81/$C$118)</f>
        <v/>
      </c>
    </row>
    <row r="82" customFormat="false" ht="15" hidden="false" customHeight="false" outlineLevel="0" collapsed="false">
      <c r="A82" s="41" t="str">
        <f aca="false">IF(Június!A82="","",Június!A82)</f>
        <v>Cipő</v>
      </c>
      <c r="B82" s="42"/>
      <c r="C82" s="25"/>
      <c r="D82" s="42"/>
      <c r="E82" s="25" t="str">
        <f aca="false">IF(D82=0,"",D82-B82)</f>
        <v/>
      </c>
      <c r="F82" s="30" t="str">
        <f aca="false">IF(OR($C$118=0,B82=""),"",B82/$C$118)</f>
        <v/>
      </c>
    </row>
    <row r="83" customFormat="false" ht="15" hidden="false" customHeight="false" outlineLevel="0" collapsed="false">
      <c r="A83" s="41" t="str">
        <f aca="false">IF(Június!A83="","",Június!A83)</f>
        <v>Kiegészítők (táska, ékszer, óra)</v>
      </c>
      <c r="B83" s="42"/>
      <c r="C83" s="25"/>
      <c r="D83" s="42"/>
      <c r="E83" s="25" t="str">
        <f aca="false">IF(D83=0,"",D83-B83)</f>
        <v/>
      </c>
      <c r="F83" s="30" t="str">
        <f aca="false">IF(OR($C$118=0,B83=""),"",B83/$C$118)</f>
        <v/>
      </c>
    </row>
    <row r="84" customFormat="false" ht="15" hidden="false" customHeight="false" outlineLevel="0" collapsed="false">
      <c r="A84" s="41" t="str">
        <f aca="false">IF(Június!A84="","",Június!A84)</f>
        <v/>
      </c>
      <c r="B84" s="42"/>
      <c r="C84" s="25"/>
      <c r="D84" s="42"/>
      <c r="E84" s="25" t="str">
        <f aca="false">IF(D84=0,"",D84-B84)</f>
        <v/>
      </c>
      <c r="F84" s="30" t="str">
        <f aca="false">IF(OR($C$118=0,B84=""),"",B84/$C$118)</f>
        <v/>
      </c>
    </row>
    <row r="85" customFormat="false" ht="15" hidden="false" customHeight="false" outlineLevel="0" collapsed="false">
      <c r="A85" s="43" t="s">
        <v>123</v>
      </c>
      <c r="B85" s="35"/>
      <c r="C85" s="44" t="n">
        <f aca="false">SUM(B81:B84)</f>
        <v>0</v>
      </c>
      <c r="D85" s="44" t="n">
        <f aca="false">SUM(D81:D84)</f>
        <v>0</v>
      </c>
      <c r="E85" s="44" t="str">
        <f aca="false">IF(D85=0,"",D85-C85)</f>
        <v/>
      </c>
      <c r="F85" s="45" t="str">
        <f aca="false">IF(OR($C$118=0,C85=""),"",C85/$C$118)</f>
        <v/>
      </c>
    </row>
    <row r="86" customFormat="false" ht="15" hidden="false" customHeight="false" outlineLevel="0" collapsed="false">
      <c r="A86" s="39" t="s">
        <v>49</v>
      </c>
      <c r="B86" s="40"/>
      <c r="C86" s="40"/>
      <c r="D86" s="40"/>
      <c r="E86" s="40"/>
      <c r="F86" s="40"/>
    </row>
    <row r="87" customFormat="false" ht="15" hidden="false" customHeight="false" outlineLevel="0" collapsed="false">
      <c r="A87" s="41" t="str">
        <f aca="false">IF(Június!A87="","",Június!A87)</f>
        <v>Fodrász, borbély</v>
      </c>
      <c r="B87" s="42"/>
      <c r="C87" s="25"/>
      <c r="D87" s="42"/>
      <c r="E87" s="25" t="str">
        <f aca="false">IF(D87=0,"",D87-B87)</f>
        <v/>
      </c>
      <c r="F87" s="30" t="str">
        <f aca="false">IF(OR($C$118=0,B87=""),"",B87/$C$118)</f>
        <v/>
      </c>
    </row>
    <row r="88" customFormat="false" ht="15" hidden="false" customHeight="false" outlineLevel="0" collapsed="false">
      <c r="A88" s="41" t="str">
        <f aca="false">IF(Június!A88="","",Június!A88)</f>
        <v>Kozmetikus, manikűr, pedikűr</v>
      </c>
      <c r="B88" s="42"/>
      <c r="C88" s="25"/>
      <c r="D88" s="42"/>
      <c r="E88" s="25" t="str">
        <f aca="false">IF(D88=0,"",D88-B88)</f>
        <v/>
      </c>
      <c r="F88" s="30" t="str">
        <f aca="false">IF(OR($C$118=0,B88=""),"",B88/$C$118)</f>
        <v/>
      </c>
    </row>
    <row r="89" customFormat="false" ht="15" hidden="false" customHeight="false" outlineLevel="0" collapsed="false">
      <c r="A89" s="41" t="str">
        <f aca="false">IF(Június!A89="","",Június!A89)</f>
        <v>Kozmetikumok, parfüm</v>
      </c>
      <c r="B89" s="42"/>
      <c r="C89" s="25"/>
      <c r="D89" s="42"/>
      <c r="E89" s="25" t="str">
        <f aca="false">IF(D89=0,"",D89-B89)</f>
        <v/>
      </c>
      <c r="F89" s="30" t="str">
        <f aca="false">IF(OR($C$118=0,B89=""),"",B89/$C$118)</f>
        <v/>
      </c>
    </row>
    <row r="90" customFormat="false" ht="15" hidden="false" customHeight="false" outlineLevel="0" collapsed="false">
      <c r="A90" s="41" t="str">
        <f aca="false">IF(Június!A90="","",Június!A90)</f>
        <v>Edzés, sport, bérlet</v>
      </c>
      <c r="B90" s="42"/>
      <c r="C90" s="25"/>
      <c r="D90" s="42"/>
      <c r="E90" s="25" t="str">
        <f aca="false">IF(D90=0,"",D90-B90)</f>
        <v/>
      </c>
      <c r="F90" s="30" t="str">
        <f aca="false">IF(OR($C$118=0,B90=""),"",B90/$C$118)</f>
        <v/>
      </c>
    </row>
    <row r="91" customFormat="false" ht="15" hidden="false" customHeight="false" outlineLevel="0" collapsed="false">
      <c r="A91" s="41" t="str">
        <f aca="false">IF(Június!A91="","",Június!A91)</f>
        <v>Gyógyszer, vitamin</v>
      </c>
      <c r="B91" s="42"/>
      <c r="C91" s="25"/>
      <c r="D91" s="42"/>
      <c r="E91" s="25" t="str">
        <f aca="false">IF(D91=0,"",D91-B91)</f>
        <v/>
      </c>
      <c r="F91" s="30" t="str">
        <f aca="false">IF(OR($C$118=0,B91=""),"",B91/$C$118)</f>
        <v/>
      </c>
    </row>
    <row r="92" customFormat="false" ht="15" hidden="false" customHeight="false" outlineLevel="0" collapsed="false">
      <c r="A92" s="41" t="str">
        <f aca="false">IF(Június!A92="","",Június!A92)</f>
        <v>Orvos, fogorvos, magánrendelés</v>
      </c>
      <c r="B92" s="42"/>
      <c r="C92" s="25"/>
      <c r="D92" s="42"/>
      <c r="E92" s="25" t="str">
        <f aca="false">IF(D92=0,"",D92-B92)</f>
        <v/>
      </c>
      <c r="F92" s="30" t="str">
        <f aca="false">IF(OR($C$118=0,B92=""),"",B92/$C$118)</f>
        <v/>
      </c>
    </row>
    <row r="93" customFormat="false" ht="15" hidden="false" customHeight="false" outlineLevel="0" collapsed="false">
      <c r="A93" s="41" t="str">
        <f aca="false">IF(Június!A93="","",Június!A93)</f>
        <v/>
      </c>
      <c r="B93" s="42"/>
      <c r="C93" s="25"/>
      <c r="D93" s="42"/>
      <c r="E93" s="25" t="str">
        <f aca="false">IF(D93=0,"",D93-B93)</f>
        <v/>
      </c>
      <c r="F93" s="30" t="str">
        <f aca="false">IF(OR($C$118=0,B93=""),"",B93/$C$118)</f>
        <v/>
      </c>
    </row>
    <row r="94" customFormat="false" ht="15" hidden="false" customHeight="false" outlineLevel="0" collapsed="false">
      <c r="A94" s="43" t="s">
        <v>130</v>
      </c>
      <c r="B94" s="35"/>
      <c r="C94" s="44" t="n">
        <f aca="false">SUM(B87:B93)</f>
        <v>0</v>
      </c>
      <c r="D94" s="44" t="n">
        <f aca="false">SUM(D87:D93)</f>
        <v>0</v>
      </c>
      <c r="E94" s="44" t="str">
        <f aca="false">IF(D94=0,"",D94-C94)</f>
        <v/>
      </c>
      <c r="F94" s="45" t="str">
        <f aca="false">IF(OR($C$118=0,C94=""),"",C94/$C$118)</f>
        <v/>
      </c>
    </row>
    <row r="95" customFormat="false" ht="15" hidden="false" customHeight="false" outlineLevel="0" collapsed="false">
      <c r="A95" s="39" t="s">
        <v>50</v>
      </c>
      <c r="B95" s="40"/>
      <c r="C95" s="40"/>
      <c r="D95" s="40"/>
      <c r="E95" s="40"/>
      <c r="F95" s="40"/>
    </row>
    <row r="96" customFormat="false" ht="15" hidden="false" customHeight="false" outlineLevel="0" collapsed="false">
      <c r="A96" s="41" t="str">
        <f aca="false">IF(Június!A96="","",Június!A96)</f>
        <v>Cigaretta, dohány</v>
      </c>
      <c r="B96" s="42"/>
      <c r="C96" s="25"/>
      <c r="D96" s="42"/>
      <c r="E96" s="25" t="str">
        <f aca="false">IF(D96=0,"",D96-B96)</f>
        <v/>
      </c>
      <c r="F96" s="30" t="str">
        <f aca="false">IF(OR($C$118=0,B96=""),"",B96/$C$118)</f>
        <v/>
      </c>
    </row>
    <row r="97" customFormat="false" ht="15" hidden="false" customHeight="false" outlineLevel="0" collapsed="false">
      <c r="A97" s="41" t="str">
        <f aca="false">IF(Június!A97="","",Június!A97)</f>
        <v>E-cigaretta, hevített dohánytermék</v>
      </c>
      <c r="B97" s="42"/>
      <c r="C97" s="25"/>
      <c r="D97" s="42"/>
      <c r="E97" s="25" t="str">
        <f aca="false">IF(D97=0,"",D97-B97)</f>
        <v/>
      </c>
      <c r="F97" s="30" t="str">
        <f aca="false">IF(OR($C$118=0,B97=""),"",B97/$C$118)</f>
        <v/>
      </c>
    </row>
    <row r="98" customFormat="false" ht="15" hidden="false" customHeight="false" outlineLevel="0" collapsed="false">
      <c r="A98" s="41" t="str">
        <f aca="false">IF(Június!A98="","",Június!A98)</f>
        <v/>
      </c>
      <c r="B98" s="42"/>
      <c r="C98" s="25"/>
      <c r="D98" s="42"/>
      <c r="E98" s="25" t="str">
        <f aca="false">IF(D98=0,"",D98-B98)</f>
        <v/>
      </c>
      <c r="F98" s="30" t="str">
        <f aca="false">IF(OR($C$118=0,B98=""),"",B98/$C$118)</f>
        <v/>
      </c>
    </row>
    <row r="99" customFormat="false" ht="15" hidden="false" customHeight="false" outlineLevel="0" collapsed="false">
      <c r="A99" s="43" t="s">
        <v>133</v>
      </c>
      <c r="B99" s="35"/>
      <c r="C99" s="44" t="n">
        <f aca="false">SUM(B96:B98)</f>
        <v>0</v>
      </c>
      <c r="D99" s="44" t="n">
        <f aca="false">SUM(D96:D98)</f>
        <v>0</v>
      </c>
      <c r="E99" s="44" t="str">
        <f aca="false">IF(D99=0,"",D99-C99)</f>
        <v/>
      </c>
      <c r="F99" s="45" t="str">
        <f aca="false">IF(OR($C$118=0,C99=""),"",C99/$C$118)</f>
        <v/>
      </c>
    </row>
    <row r="100" customFormat="false" ht="15" hidden="false" customHeight="false" outlineLevel="0" collapsed="false">
      <c r="A100" s="39" t="s">
        <v>51</v>
      </c>
      <c r="B100" s="40"/>
      <c r="C100" s="40"/>
      <c r="D100" s="40"/>
      <c r="E100" s="40"/>
      <c r="F100" s="40"/>
    </row>
    <row r="101" customFormat="false" ht="15" hidden="false" customHeight="false" outlineLevel="0" collapsed="false">
      <c r="A101" s="41" t="str">
        <f aca="false">IF(Június!A101="","",Június!A101)</f>
        <v>Állateledel, jutalomfalat</v>
      </c>
      <c r="B101" s="42"/>
      <c r="C101" s="25"/>
      <c r="D101" s="42"/>
      <c r="E101" s="25" t="str">
        <f aca="false">IF(D101=0,"",D101-B101)</f>
        <v/>
      </c>
      <c r="F101" s="30" t="str">
        <f aca="false">IF(OR($C$118=0,B101=""),"",B101/$C$118)</f>
        <v/>
      </c>
    </row>
    <row r="102" customFormat="false" ht="15" hidden="false" customHeight="false" outlineLevel="0" collapsed="false">
      <c r="A102" s="41" t="str">
        <f aca="false">IF(Június!A102="","",Június!A102)</f>
        <v>Állatorvos, oltások, gyógyszer</v>
      </c>
      <c r="B102" s="42"/>
      <c r="C102" s="25"/>
      <c r="D102" s="42"/>
      <c r="E102" s="25" t="str">
        <f aca="false">IF(D102=0,"",D102-B102)</f>
        <v/>
      </c>
      <c r="F102" s="30" t="str">
        <f aca="false">IF(OR($C$118=0,B102=""),"",B102/$C$118)</f>
        <v/>
      </c>
    </row>
    <row r="103" customFormat="false" ht="15" hidden="false" customHeight="false" outlineLevel="0" collapsed="false">
      <c r="A103" s="41" t="str">
        <f aca="false">IF(Június!A103="","",Június!A103)</f>
        <v>Felszerelés, alom, játékok</v>
      </c>
      <c r="B103" s="42"/>
      <c r="C103" s="25"/>
      <c r="D103" s="42"/>
      <c r="E103" s="25" t="str">
        <f aca="false">IF(D103=0,"",D103-B103)</f>
        <v/>
      </c>
      <c r="F103" s="30" t="str">
        <f aca="false">IF(OR($C$118=0,B103=""),"",B103/$C$118)</f>
        <v/>
      </c>
    </row>
    <row r="104" customFormat="false" ht="15" hidden="false" customHeight="false" outlineLevel="0" collapsed="false">
      <c r="A104" s="41" t="str">
        <f aca="false">IF(Június!A104="","",Június!A104)</f>
        <v>Kisállat-kozmetika, panzió, kutyaiskola</v>
      </c>
      <c r="B104" s="42"/>
      <c r="C104" s="25"/>
      <c r="D104" s="42"/>
      <c r="E104" s="25" t="str">
        <f aca="false">IF(D104=0,"",D104-B104)</f>
        <v/>
      </c>
      <c r="F104" s="30" t="str">
        <f aca="false">IF(OR($C$118=0,B104=""),"",B104/$C$118)</f>
        <v/>
      </c>
    </row>
    <row r="105" customFormat="false" ht="15" hidden="false" customHeight="false" outlineLevel="0" collapsed="false">
      <c r="A105" s="41" t="str">
        <f aca="false">IF(Június!A105="","",Június!A105)</f>
        <v/>
      </c>
      <c r="B105" s="42"/>
      <c r="C105" s="25"/>
      <c r="D105" s="42"/>
      <c r="E105" s="25" t="str">
        <f aca="false">IF(D105=0,"",D105-B105)</f>
        <v/>
      </c>
      <c r="F105" s="30" t="str">
        <f aca="false">IF(OR($C$118=0,B105=""),"",B105/$C$118)</f>
        <v/>
      </c>
    </row>
    <row r="106" customFormat="false" ht="15" hidden="false" customHeight="false" outlineLevel="0" collapsed="false">
      <c r="A106" s="43" t="s">
        <v>138</v>
      </c>
      <c r="B106" s="35"/>
      <c r="C106" s="44" t="n">
        <f aca="false">SUM(B101:B105)</f>
        <v>0</v>
      </c>
      <c r="D106" s="44" t="n">
        <f aca="false">SUM(D101:D105)</f>
        <v>0</v>
      </c>
      <c r="E106" s="44" t="str">
        <f aca="false">IF(D106=0,"",D106-C106)</f>
        <v/>
      </c>
      <c r="F106" s="45" t="str">
        <f aca="false">IF(OR($C$118=0,C106=""),"",C106/$C$118)</f>
        <v/>
      </c>
    </row>
    <row r="107" customFormat="false" ht="15" hidden="false" customHeight="false" outlineLevel="0" collapsed="false">
      <c r="A107" s="39" t="s">
        <v>52</v>
      </c>
      <c r="B107" s="40"/>
      <c r="C107" s="40"/>
      <c r="D107" s="40"/>
      <c r="E107" s="40"/>
      <c r="F107" s="40"/>
    </row>
    <row r="108" customFormat="false" ht="15" hidden="false" customHeight="false" outlineLevel="0" collapsed="false">
      <c r="A108" s="41" t="str">
        <f aca="false">IF(Június!A108="","",Június!A108)</f>
        <v>Hobbi</v>
      </c>
      <c r="B108" s="42"/>
      <c r="C108" s="25"/>
      <c r="D108" s="42"/>
      <c r="E108" s="25" t="str">
        <f aca="false">IF(D108=0,"",D108-B108)</f>
        <v/>
      </c>
      <c r="F108" s="30" t="str">
        <f aca="false">IF(OR($C$118=0,B108=""),"",B108/$C$118)</f>
        <v/>
      </c>
    </row>
    <row r="109" customFormat="false" ht="15" hidden="false" customHeight="false" outlineLevel="0" collapsed="false">
      <c r="A109" s="41" t="str">
        <f aca="false">IF(Június!A109="","",Június!A109)</f>
        <v>Szórakozás (mozi, színház, koncert, étterem)</v>
      </c>
      <c r="B109" s="42"/>
      <c r="C109" s="25"/>
      <c r="D109" s="42"/>
      <c r="E109" s="25" t="str">
        <f aca="false">IF(D109=0,"",D109-B109)</f>
        <v/>
      </c>
      <c r="F109" s="30" t="str">
        <f aca="false">IF(OR($C$118=0,B109=""),"",B109/$C$118)</f>
        <v/>
      </c>
    </row>
    <row r="110" customFormat="false" ht="15" hidden="false" customHeight="false" outlineLevel="0" collapsed="false">
      <c r="A110" s="41" t="str">
        <f aca="false">IF(Június!A110="","",Június!A110)</f>
        <v>Nyaralás, utazás</v>
      </c>
      <c r="B110" s="42"/>
      <c r="C110" s="25"/>
      <c r="D110" s="42"/>
      <c r="E110" s="25" t="str">
        <f aca="false">IF(D110=0,"",D110-B110)</f>
        <v/>
      </c>
      <c r="F110" s="30" t="str">
        <f aca="false">IF(OR($C$118=0,B110=""),"",B110/$C$118)</f>
        <v/>
      </c>
    </row>
    <row r="111" customFormat="false" ht="15" hidden="false" customHeight="false" outlineLevel="0" collapsed="false">
      <c r="A111" s="41" t="str">
        <f aca="false">IF(Június!A111="","",Június!A111)</f>
        <v/>
      </c>
      <c r="B111" s="42"/>
      <c r="C111" s="25"/>
      <c r="D111" s="42"/>
      <c r="E111" s="25" t="str">
        <f aca="false">IF(D111=0,"",D111-B111)</f>
        <v/>
      </c>
      <c r="F111" s="30" t="str">
        <f aca="false">IF(OR($C$118=0,B111=""),"",B111/$C$118)</f>
        <v/>
      </c>
    </row>
    <row r="112" customFormat="false" ht="15" hidden="false" customHeight="false" outlineLevel="0" collapsed="false">
      <c r="A112" s="43" t="s">
        <v>142</v>
      </c>
      <c r="B112" s="35"/>
      <c r="C112" s="44" t="n">
        <f aca="false">SUM(B108:B111)</f>
        <v>0</v>
      </c>
      <c r="D112" s="44" t="n">
        <f aca="false">SUM(D108:D111)</f>
        <v>0</v>
      </c>
      <c r="E112" s="44" t="str">
        <f aca="false">IF(D112=0,"",D112-C112)</f>
        <v/>
      </c>
      <c r="F112" s="45" t="str">
        <f aca="false">IF(OR($C$118=0,C112=""),"",C112/$C$118)</f>
        <v/>
      </c>
    </row>
    <row r="113" customFormat="false" ht="15" hidden="false" customHeight="false" outlineLevel="0" collapsed="false">
      <c r="A113" s="39" t="s">
        <v>53</v>
      </c>
      <c r="B113" s="40"/>
      <c r="C113" s="40"/>
      <c r="D113" s="40"/>
      <c r="E113" s="40"/>
      <c r="F113" s="40"/>
    </row>
    <row r="114" customFormat="false" ht="15" hidden="false" customHeight="false" outlineLevel="0" collapsed="false">
      <c r="A114" s="41" t="str">
        <f aca="false">IF(Június!A114="","",Június!A114)</f>
        <v>Ünnepek, ajándékok</v>
      </c>
      <c r="B114" s="42"/>
      <c r="C114" s="25"/>
      <c r="D114" s="42"/>
      <c r="E114" s="25" t="str">
        <f aca="false">IF(D114=0,"",D114-B114)</f>
        <v/>
      </c>
      <c r="F114" s="30" t="str">
        <f aca="false">IF(OR($C$118=0,B114=""),"",B114/$C$118)</f>
        <v/>
      </c>
    </row>
    <row r="115" customFormat="false" ht="15" hidden="false" customHeight="false" outlineLevel="0" collapsed="false">
      <c r="A115" s="41" t="str">
        <f aca="false">IF(Június!A115="","",Június!A115)</f>
        <v>Egyéb kiadás</v>
      </c>
      <c r="B115" s="42"/>
      <c r="C115" s="25"/>
      <c r="D115" s="42"/>
      <c r="E115" s="25" t="str">
        <f aca="false">IF(D115=0,"",D115-B115)</f>
        <v/>
      </c>
      <c r="F115" s="30" t="str">
        <f aca="false">IF(OR($C$118=0,B115=""),"",B115/$C$118)</f>
        <v/>
      </c>
    </row>
    <row r="116" customFormat="false" ht="15" hidden="false" customHeight="false" outlineLevel="0" collapsed="false">
      <c r="A116" s="41" t="str">
        <f aca="false">IF(Június!A116="","",Június!A116)</f>
        <v/>
      </c>
      <c r="B116" s="42"/>
      <c r="C116" s="25"/>
      <c r="D116" s="42"/>
      <c r="E116" s="25" t="str">
        <f aca="false">IF(D116=0,"",D116-B116)</f>
        <v/>
      </c>
      <c r="F116" s="30" t="str">
        <f aca="false">IF(OR($C$118=0,B116=""),"",B116/$C$118)</f>
        <v/>
      </c>
    </row>
    <row r="117" customFormat="false" ht="15" hidden="false" customHeight="false" outlineLevel="0" collapsed="false">
      <c r="A117" s="43" t="s">
        <v>145</v>
      </c>
      <c r="B117" s="35"/>
      <c r="C117" s="44" t="n">
        <f aca="false">SUM(B114:B116)</f>
        <v>0</v>
      </c>
      <c r="D117" s="44" t="n">
        <f aca="false">SUM(D114:D116)</f>
        <v>0</v>
      </c>
      <c r="E117" s="44" t="str">
        <f aca="false">IF(D117=0,"",D117-C117)</f>
        <v/>
      </c>
      <c r="F117" s="45" t="str">
        <f aca="false">IF(OR($C$118=0,C117=""),"",C117/$C$118)</f>
        <v/>
      </c>
    </row>
    <row r="118" customFormat="false" ht="15" hidden="false" customHeight="false" outlineLevel="0" collapsed="false">
      <c r="A118" s="33" t="s">
        <v>146</v>
      </c>
      <c r="B118" s="33"/>
      <c r="C118" s="50" t="n">
        <f aca="false">C35+C42+C52+C66+C79+C85+C94+C99+C106+C112+C117</f>
        <v>0</v>
      </c>
      <c r="D118" s="50" t="n">
        <f aca="false">D35+D42+D52+D66+D79+D85+D94+D99+D106+D112+D117</f>
        <v>0</v>
      </c>
      <c r="E118" s="50" t="str">
        <f aca="false">IF(D118=0,"",D118-C118)</f>
        <v/>
      </c>
      <c r="F118" s="51" t="str">
        <f aca="false">IF($C$16=0,"",C118/$C$16)</f>
        <v/>
      </c>
    </row>
    <row r="119" customFormat="false" ht="15" hidden="false" customHeight="false" outlineLevel="0" collapsed="false">
      <c r="A119" s="8" t="s">
        <v>147</v>
      </c>
      <c r="B119" s="8"/>
      <c r="C119" s="8" t="s">
        <v>148</v>
      </c>
      <c r="D119" s="8" t="s">
        <v>149</v>
      </c>
      <c r="E119" s="8"/>
      <c r="F119" s="8" t="s">
        <v>150</v>
      </c>
    </row>
    <row r="120" customFormat="false" ht="15" hidden="false" customHeight="false" outlineLevel="0" collapsed="false">
      <c r="A120" s="13" t="s">
        <v>151</v>
      </c>
      <c r="B120" s="52"/>
      <c r="C120" s="53" t="n">
        <f aca="false">C16</f>
        <v>0</v>
      </c>
      <c r="D120" s="53" t="n">
        <f aca="false">D16</f>
        <v>0</v>
      </c>
      <c r="E120" s="52"/>
      <c r="F120" s="54" t="str">
        <f aca="false">IF($C$120=0,"",C120/$C$120)</f>
        <v/>
      </c>
    </row>
    <row r="121" customFormat="false" ht="15" hidden="false" customHeight="false" outlineLevel="0" collapsed="false">
      <c r="A121" s="17" t="s">
        <v>152</v>
      </c>
      <c r="B121" s="52"/>
      <c r="C121" s="53" t="n">
        <f aca="false">C28</f>
        <v>0</v>
      </c>
      <c r="D121" s="53" t="n">
        <f aca="false">D28</f>
        <v>0</v>
      </c>
      <c r="E121" s="52"/>
      <c r="F121" s="54" t="str">
        <f aca="false">IF($C$120=0,"",C121/$C$120)</f>
        <v/>
      </c>
    </row>
    <row r="122" customFormat="false" ht="15" hidden="false" customHeight="false" outlineLevel="0" collapsed="false">
      <c r="A122" s="18" t="s">
        <v>153</v>
      </c>
      <c r="B122" s="52"/>
      <c r="C122" s="53" t="n">
        <f aca="false">C118</f>
        <v>0</v>
      </c>
      <c r="D122" s="53" t="n">
        <f aca="false">D118</f>
        <v>0</v>
      </c>
      <c r="E122" s="52"/>
      <c r="F122" s="54" t="str">
        <f aca="false">IF($C$120=0,"",C122/$C$120)</f>
        <v/>
      </c>
    </row>
    <row r="123" customFormat="false" ht="15" hidden="false" customHeight="false" outlineLevel="0" collapsed="false">
      <c r="A123" s="33" t="s">
        <v>154</v>
      </c>
      <c r="B123" s="33"/>
      <c r="C123" s="50" t="n">
        <f aca="false">C121+C122</f>
        <v>0</v>
      </c>
      <c r="D123" s="50" t="n">
        <f aca="false">D121+D122</f>
        <v>0</v>
      </c>
      <c r="E123" s="33"/>
      <c r="F123" s="51" t="str">
        <f aca="false">IF($C$120=0,"",C123/$C$120)</f>
        <v/>
      </c>
    </row>
    <row r="124" customFormat="false" ht="15" hidden="false" customHeight="false" outlineLevel="0" collapsed="false">
      <c r="A124" s="19" t="s">
        <v>155</v>
      </c>
      <c r="B124" s="19"/>
      <c r="C124" s="20" t="n">
        <f aca="false">C120-C123</f>
        <v>0</v>
      </c>
      <c r="D124" s="20" t="n">
        <f aca="false">D120-D123</f>
        <v>0</v>
      </c>
      <c r="E124" s="19"/>
      <c r="F124" s="55" t="str">
        <f aca="false">IF($C$120=0,"",C124/$C$120)</f>
        <v/>
      </c>
    </row>
    <row r="125" customFormat="false" ht="15" hidden="false" customHeight="false" outlineLevel="0" collapsed="false">
      <c r="A125" s="24" t="s">
        <v>156</v>
      </c>
      <c r="B125" s="24"/>
      <c r="C125" s="23" t="str">
        <f aca="false">IF(C120=0,"–",C121/C120)</f>
        <v>–</v>
      </c>
      <c r="D125" s="23" t="str">
        <f aca="false">IF(D120=0,"–",D121/D120)</f>
        <v>–</v>
      </c>
      <c r="E125" s="24"/>
      <c r="F125" s="24"/>
    </row>
    <row r="126" customFormat="false" ht="15" hidden="false" customHeight="false" outlineLevel="0" collapsed="false">
      <c r="A126" s="36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7" t="str">
        <f aca="false">" 💰 HAVI KÖLTSÉGVETÉS — "&amp;UPPER("Augusztus")&amp;" "&amp;'📊 Éves Összesítő'!$B$2</f>
        <v> 💰 HAVI KÖLTSÉGVETÉS — AUGUSZTUS 2026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37" t="s">
        <v>56</v>
      </c>
      <c r="B2" s="38" t="s">
        <v>57</v>
      </c>
      <c r="C2" s="38" t="s">
        <v>58</v>
      </c>
      <c r="D2" s="38" t="s">
        <v>59</v>
      </c>
      <c r="E2" s="38" t="s">
        <v>60</v>
      </c>
      <c r="F2" s="38" t="s">
        <v>33</v>
      </c>
    </row>
    <row r="3" customFormat="false" ht="18" hidden="false" customHeight="true" outlineLevel="0" collapsed="false">
      <c r="A3" s="26" t="s">
        <v>61</v>
      </c>
      <c r="B3" s="26"/>
      <c r="C3" s="26"/>
      <c r="D3" s="26"/>
      <c r="E3" s="26"/>
      <c r="F3" s="26"/>
    </row>
    <row r="4" customFormat="false" ht="15" hidden="false" customHeight="false" outlineLevel="0" collapsed="false">
      <c r="A4" s="39" t="s">
        <v>62</v>
      </c>
      <c r="B4" s="40"/>
      <c r="C4" s="40"/>
      <c r="D4" s="40"/>
      <c r="E4" s="40"/>
      <c r="F4" s="40"/>
    </row>
    <row r="5" customFormat="false" ht="15" hidden="false" customHeight="false" outlineLevel="0" collapsed="false">
      <c r="A5" s="41" t="str">
        <f aca="false">IF(Július!A5="","",Július!A5)</f>
        <v>Munkabér 1 (pl. saját)</v>
      </c>
      <c r="B5" s="42"/>
      <c r="C5" s="25"/>
      <c r="D5" s="42"/>
      <c r="E5" s="25" t="str">
        <f aca="false">IF(D5=0,"",B5-D5)</f>
        <v/>
      </c>
      <c r="F5" s="30" t="str">
        <f aca="false">IF(OR($C$16=0,B5=""),"",B5/$C$16)</f>
        <v/>
      </c>
    </row>
    <row r="6" customFormat="false" ht="15" hidden="false" customHeight="false" outlineLevel="0" collapsed="false">
      <c r="A6" s="41" t="str">
        <f aca="false">IF(Július!A6="","",Július!A6)</f>
        <v>Munkabér 2 (pl. partner)</v>
      </c>
      <c r="B6" s="42"/>
      <c r="C6" s="25"/>
      <c r="D6" s="42"/>
      <c r="E6" s="25" t="str">
        <f aca="false">IF(D6=0,"",B6-D6)</f>
        <v/>
      </c>
      <c r="F6" s="30" t="str">
        <f aca="false">IF(OR($C$16=0,B6=""),"",B6/$C$16)</f>
        <v/>
      </c>
    </row>
    <row r="7" customFormat="false" ht="15" hidden="false" customHeight="false" outlineLevel="0" collapsed="false">
      <c r="A7" s="41" t="str">
        <f aca="false">IF(Július!A7="","",Július!A7)</f>
        <v>Vállalkozói bevétel</v>
      </c>
      <c r="B7" s="42"/>
      <c r="C7" s="25"/>
      <c r="D7" s="42"/>
      <c r="E7" s="25" t="str">
        <f aca="false">IF(D7=0,"",B7-D7)</f>
        <v/>
      </c>
      <c r="F7" s="30" t="str">
        <f aca="false">IF(OR($C$16=0,B7=""),"",B7/$C$16)</f>
        <v/>
      </c>
    </row>
    <row r="8" customFormat="false" ht="15" hidden="false" customHeight="false" outlineLevel="0" collapsed="false">
      <c r="A8" s="41" t="str">
        <f aca="false">IF(Július!A8="","",Július!A8)</f>
        <v/>
      </c>
      <c r="B8" s="42"/>
      <c r="C8" s="25"/>
      <c r="D8" s="42"/>
      <c r="E8" s="25" t="str">
        <f aca="false">IF(D8=0,"",B8-D8)</f>
        <v/>
      </c>
      <c r="F8" s="30" t="str">
        <f aca="false">IF(OR($C$16=0,B8=""),"",B8/$C$16)</f>
        <v/>
      </c>
    </row>
    <row r="9" customFormat="false" ht="15" hidden="false" customHeight="false" outlineLevel="0" collapsed="false">
      <c r="A9" s="43" t="s">
        <v>66</v>
      </c>
      <c r="B9" s="35"/>
      <c r="C9" s="44" t="n">
        <f aca="false">SUM(B5:B8)</f>
        <v>0</v>
      </c>
      <c r="D9" s="44" t="n">
        <f aca="false">SUM(D5:D8)</f>
        <v>0</v>
      </c>
      <c r="E9" s="44" t="str">
        <f aca="false">IF(D9=0,"",C9-D9)</f>
        <v/>
      </c>
      <c r="F9" s="45" t="str">
        <f aca="false">IF(OR($C$16=0,C9=""),"",C9/$C$16)</f>
        <v/>
      </c>
    </row>
    <row r="10" customFormat="false" ht="15" hidden="false" customHeight="false" outlineLevel="0" collapsed="false">
      <c r="A10" s="39" t="s">
        <v>67</v>
      </c>
      <c r="B10" s="40"/>
      <c r="C10" s="40"/>
      <c r="D10" s="40"/>
      <c r="E10" s="40"/>
      <c r="F10" s="40"/>
    </row>
    <row r="11" customFormat="false" ht="15" hidden="false" customHeight="false" outlineLevel="0" collapsed="false">
      <c r="A11" s="41" t="str">
        <f aca="false">IF(Július!A11="","",Július!A11)</f>
        <v>CSED / GYED / GYES</v>
      </c>
      <c r="B11" s="42"/>
      <c r="C11" s="25"/>
      <c r="D11" s="42"/>
      <c r="E11" s="25" t="str">
        <f aca="false">IF(D11=0,"",B11-D11)</f>
        <v/>
      </c>
      <c r="F11" s="30" t="str">
        <f aca="false">IF(OR($C$16=0,B11=""),"",B11/$C$16)</f>
        <v/>
      </c>
    </row>
    <row r="12" customFormat="false" ht="15" hidden="false" customHeight="false" outlineLevel="0" collapsed="false">
      <c r="A12" s="41" t="str">
        <f aca="false">IF(Július!A12="","",Július!A12)</f>
        <v>Családi pótlék</v>
      </c>
      <c r="B12" s="42"/>
      <c r="C12" s="25"/>
      <c r="D12" s="42"/>
      <c r="E12" s="25" t="str">
        <f aca="false">IF(D12=0,"",B12-D12)</f>
        <v/>
      </c>
      <c r="F12" s="30" t="str">
        <f aca="false">IF(OR($C$16=0,B12=""),"",B12/$C$16)</f>
        <v/>
      </c>
    </row>
    <row r="13" customFormat="false" ht="15" hidden="false" customHeight="false" outlineLevel="0" collapsed="false">
      <c r="A13" s="41" t="str">
        <f aca="false">IF(Július!A13="","",Július!A13)</f>
        <v>Egyéb (lakáskiadás, bónusz stb.)</v>
      </c>
      <c r="B13" s="42"/>
      <c r="C13" s="25"/>
      <c r="D13" s="42"/>
      <c r="E13" s="25" t="str">
        <f aca="false">IF(D13=0,"",B13-D13)</f>
        <v/>
      </c>
      <c r="F13" s="30" t="str">
        <f aca="false">IF(OR($C$16=0,B13=""),"",B13/$C$16)</f>
        <v/>
      </c>
    </row>
    <row r="14" customFormat="false" ht="15" hidden="false" customHeight="false" outlineLevel="0" collapsed="false">
      <c r="A14" s="41" t="str">
        <f aca="false">IF(Július!A14="","",Július!A14)</f>
        <v/>
      </c>
      <c r="B14" s="42"/>
      <c r="C14" s="25"/>
      <c r="D14" s="42"/>
      <c r="E14" s="25" t="str">
        <f aca="false">IF(D14=0,"",B14-D14)</f>
        <v/>
      </c>
      <c r="F14" s="30" t="str">
        <f aca="false">IF(OR($C$16=0,B14=""),"",B14/$C$16)</f>
        <v/>
      </c>
    </row>
    <row r="15" customFormat="false" ht="15" hidden="false" customHeight="false" outlineLevel="0" collapsed="false">
      <c r="A15" s="43" t="s">
        <v>71</v>
      </c>
      <c r="B15" s="35"/>
      <c r="C15" s="44" t="n">
        <f aca="false">SUM(B11:B14)</f>
        <v>0</v>
      </c>
      <c r="D15" s="44" t="n">
        <f aca="false">SUM(D11:D14)</f>
        <v>0</v>
      </c>
      <c r="E15" s="44" t="str">
        <f aca="false">IF(D15=0,"",C15-D15)</f>
        <v/>
      </c>
      <c r="F15" s="45" t="str">
        <f aca="false">IF(OR($C$16=0,C15=""),"",C15/$C$16)</f>
        <v/>
      </c>
    </row>
    <row r="16" customFormat="false" ht="15" hidden="false" customHeight="false" outlineLevel="0" collapsed="false">
      <c r="A16" s="26" t="s">
        <v>72</v>
      </c>
      <c r="B16" s="26"/>
      <c r="C16" s="46" t="n">
        <f aca="false">C9+C15</f>
        <v>0</v>
      </c>
      <c r="D16" s="46" t="n">
        <f aca="false">D9+D15</f>
        <v>0</v>
      </c>
      <c r="E16" s="46" t="str">
        <f aca="false">IF(D16=0,"",C16-D16)</f>
        <v/>
      </c>
      <c r="F16" s="47" t="str">
        <f aca="false">IF($C$16=0,"",1)</f>
        <v/>
      </c>
    </row>
    <row r="17" customFormat="false" ht="18" hidden="false" customHeight="true" outlineLevel="0" collapsed="false">
      <c r="A17" s="31" t="s">
        <v>73</v>
      </c>
      <c r="B17" s="31"/>
      <c r="C17" s="31"/>
      <c r="D17" s="31"/>
      <c r="E17" s="31"/>
      <c r="F17" s="31"/>
    </row>
    <row r="18" customFormat="false" ht="15" hidden="false" customHeight="false" outlineLevel="0" collapsed="false">
      <c r="A18" s="41" t="str">
        <f aca="false">IF(Július!A18="","",Július!A18)</f>
        <v>Vésztartalék</v>
      </c>
      <c r="B18" s="42"/>
      <c r="C18" s="25"/>
      <c r="D18" s="42"/>
      <c r="E18" s="25" t="str">
        <f aca="false">IF(D18=0,"",B18-D18)</f>
        <v/>
      </c>
      <c r="F18" s="30" t="str">
        <f aca="false">IF(OR($C$28=0,B18=""),"",B18/$C$28)</f>
        <v/>
      </c>
    </row>
    <row r="19" customFormat="false" ht="15" hidden="false" customHeight="false" outlineLevel="0" collapsed="false">
      <c r="A19" s="41" t="str">
        <f aca="false">IF(Július!A19="","",Július!A19)</f>
        <v>Lakástakarékpénztár</v>
      </c>
      <c r="B19" s="42"/>
      <c r="C19" s="25"/>
      <c r="D19" s="42"/>
      <c r="E19" s="25" t="str">
        <f aca="false">IF(D19=0,"",B19-D19)</f>
        <v/>
      </c>
      <c r="F19" s="30" t="str">
        <f aca="false">IF(OR($C$28=0,B19=""),"",B19/$C$28)</f>
        <v/>
      </c>
    </row>
    <row r="20" customFormat="false" ht="15" hidden="false" customHeight="false" outlineLevel="0" collapsed="false">
      <c r="A20" s="41" t="str">
        <f aca="false">IF(Július!A20="","",Július!A20)</f>
        <v>Általános cél</v>
      </c>
      <c r="B20" s="42"/>
      <c r="C20" s="25"/>
      <c r="D20" s="42"/>
      <c r="E20" s="25" t="str">
        <f aca="false">IF(D20=0,"",B20-D20)</f>
        <v/>
      </c>
      <c r="F20" s="30" t="str">
        <f aca="false">IF(OR($C$28=0,B20=""),"",B20/$C$28)</f>
        <v/>
      </c>
    </row>
    <row r="21" customFormat="false" ht="15" hidden="false" customHeight="false" outlineLevel="0" collapsed="false">
      <c r="A21" s="41" t="str">
        <f aca="false">IF(Július!A21="","",Július!A21)</f>
        <v>Hosszú távú (min. 10 éves, általános célú)</v>
      </c>
      <c r="B21" s="42"/>
      <c r="C21" s="25"/>
      <c r="D21" s="42"/>
      <c r="E21" s="25" t="str">
        <f aca="false">IF(D21=0,"",B21-D21)</f>
        <v/>
      </c>
      <c r="F21" s="30" t="str">
        <f aca="false">IF(OR($C$28=0,B21=""),"",B21/$C$28)</f>
        <v/>
      </c>
    </row>
    <row r="22" customFormat="false" ht="15" hidden="false" customHeight="false" outlineLevel="0" collapsed="false">
      <c r="A22" s="41" t="str">
        <f aca="false">IF(Július!A22="","",Július!A22)</f>
        <v>Hosszú távú (min. 10 éves, lakás célú)</v>
      </c>
      <c r="B22" s="42"/>
      <c r="C22" s="25"/>
      <c r="D22" s="42"/>
      <c r="E22" s="25" t="str">
        <f aca="false">IF(D22=0,"",B22-D22)</f>
        <v/>
      </c>
      <c r="F22" s="30" t="str">
        <f aca="false">IF(OR($C$28=0,B22=""),"",B22/$C$28)</f>
        <v/>
      </c>
    </row>
    <row r="23" customFormat="false" ht="15" hidden="false" customHeight="false" outlineLevel="0" collapsed="false">
      <c r="A23" s="41" t="str">
        <f aca="false">IF(Július!A23="","",Július!A23)</f>
        <v>Hosszú távú (min. 10 éves, gyermek jövője célú)</v>
      </c>
      <c r="B23" s="42"/>
      <c r="C23" s="25"/>
      <c r="D23" s="42"/>
      <c r="E23" s="25" t="str">
        <f aca="false">IF(D23=0,"",B23-D23)</f>
        <v/>
      </c>
      <c r="F23" s="30" t="str">
        <f aca="false">IF(OR($C$28=0,B23=""),"",B23/$C$28)</f>
        <v/>
      </c>
    </row>
    <row r="24" customFormat="false" ht="15" hidden="false" customHeight="false" outlineLevel="0" collapsed="false">
      <c r="A24" s="41" t="str">
        <f aca="false">IF(Július!A24="","",Július!A24)</f>
        <v>Hosszú távú (min. 15 éves, nyugdíj célú)</v>
      </c>
      <c r="B24" s="42"/>
      <c r="C24" s="25"/>
      <c r="D24" s="42"/>
      <c r="E24" s="25" t="str">
        <f aca="false">IF(D24=0,"",B24-D24)</f>
        <v/>
      </c>
      <c r="F24" s="30" t="str">
        <f aca="false">IF(OR($C$28=0,B24=""),"",B24/$C$28)</f>
        <v/>
      </c>
    </row>
    <row r="25" customFormat="false" ht="15" hidden="false" customHeight="false" outlineLevel="0" collapsed="false">
      <c r="A25" s="41" t="str">
        <f aca="false">IF(Július!A25="","",Július!A25)</f>
        <v>Nyugdíjbiztosítás</v>
      </c>
      <c r="B25" s="42"/>
      <c r="C25" s="25"/>
      <c r="D25" s="42"/>
      <c r="E25" s="25" t="str">
        <f aca="false">IF(D25=0,"",B25-D25)</f>
        <v/>
      </c>
      <c r="F25" s="30" t="str">
        <f aca="false">IF(OR($C$28=0,B25=""),"",B25/$C$28)</f>
        <v/>
      </c>
    </row>
    <row r="26" customFormat="false" ht="15" hidden="false" customHeight="false" outlineLevel="0" collapsed="false">
      <c r="A26" s="41" t="str">
        <f aca="false">IF(Július!A26="","",Július!A26)</f>
        <v/>
      </c>
      <c r="B26" s="42"/>
      <c r="C26" s="25"/>
      <c r="D26" s="42"/>
      <c r="E26" s="25" t="str">
        <f aca="false">IF(D26=0,"",B26-D26)</f>
        <v/>
      </c>
      <c r="F26" s="30" t="str">
        <f aca="false">IF(OR($C$28=0,B26=""),"",B26/$C$28)</f>
        <v/>
      </c>
    </row>
    <row r="27" customFormat="false" ht="15" hidden="false" customHeight="false" outlineLevel="0" collapsed="false">
      <c r="A27" s="41" t="str">
        <f aca="false">IF(Július!A27="","",Július!A27)</f>
        <v/>
      </c>
      <c r="B27" s="42"/>
      <c r="C27" s="25"/>
      <c r="D27" s="42"/>
      <c r="E27" s="25" t="str">
        <f aca="false">IF(D27=0,"",B27-D27)</f>
        <v/>
      </c>
      <c r="F27" s="30" t="str">
        <f aca="false">IF(OR($C$28=0,B27=""),"",B27/$C$28)</f>
        <v/>
      </c>
    </row>
    <row r="28" customFormat="false" ht="15" hidden="false" customHeight="false" outlineLevel="0" collapsed="false">
      <c r="A28" s="31" t="s">
        <v>82</v>
      </c>
      <c r="B28" s="31"/>
      <c r="C28" s="48" t="n">
        <f aca="false">SUM(B18:B27)</f>
        <v>0</v>
      </c>
      <c r="D28" s="48" t="n">
        <f aca="false">SUM(D18:D27)</f>
        <v>0</v>
      </c>
      <c r="E28" s="48" t="str">
        <f aca="false">IF(D28=0,"",C28-D28)</f>
        <v/>
      </c>
      <c r="F28" s="49" t="str">
        <f aca="false">IF($C$16=0,"",C28/$C$16)</f>
        <v/>
      </c>
    </row>
    <row r="29" customFormat="false" ht="18" hidden="false" customHeight="true" outlineLevel="0" collapsed="false">
      <c r="A29" s="33" t="s">
        <v>83</v>
      </c>
      <c r="B29" s="33"/>
      <c r="C29" s="33"/>
      <c r="D29" s="33"/>
      <c r="E29" s="33"/>
      <c r="F29" s="33"/>
    </row>
    <row r="30" customFormat="false" ht="15" hidden="false" customHeight="false" outlineLevel="0" collapsed="false">
      <c r="A30" s="39" t="s">
        <v>43</v>
      </c>
      <c r="B30" s="40"/>
      <c r="C30" s="40"/>
      <c r="D30" s="40"/>
      <c r="E30" s="40"/>
      <c r="F30" s="40"/>
    </row>
    <row r="31" customFormat="false" ht="15" hidden="false" customHeight="false" outlineLevel="0" collapsed="false">
      <c r="A31" s="41" t="str">
        <f aca="false">IF(Július!A31="","",Július!A31)</f>
        <v>Albérleti díj / lakáshitel</v>
      </c>
      <c r="B31" s="42"/>
      <c r="C31" s="25"/>
      <c r="D31" s="42"/>
      <c r="E31" s="25" t="str">
        <f aca="false">IF(D31=0,"",D31-B31)</f>
        <v/>
      </c>
      <c r="F31" s="30" t="str">
        <f aca="false">IF(OR($C$118=0,B31=""),"",B31/$C$118)</f>
        <v/>
      </c>
    </row>
    <row r="32" customFormat="false" ht="15" hidden="false" customHeight="false" outlineLevel="0" collapsed="false">
      <c r="A32" s="41" t="str">
        <f aca="false">IF(Július!A32="","",Július!A32)</f>
        <v>Rezsi (közművek, közös költség)</v>
      </c>
      <c r="B32" s="42"/>
      <c r="C32" s="25"/>
      <c r="D32" s="42"/>
      <c r="E32" s="25" t="str">
        <f aca="false">IF(D32=0,"",D32-B32)</f>
        <v/>
      </c>
      <c r="F32" s="30" t="str">
        <f aca="false">IF(OR($C$118=0,B32=""),"",B32/$C$118)</f>
        <v/>
      </c>
    </row>
    <row r="33" customFormat="false" ht="15" hidden="false" customHeight="false" outlineLevel="0" collapsed="false">
      <c r="A33" s="41" t="str">
        <f aca="false">IF(Július!A33="","",Július!A33)</f>
        <v>Telefon, internet, digitális előfizetések</v>
      </c>
      <c r="B33" s="42"/>
      <c r="C33" s="25"/>
      <c r="D33" s="42"/>
      <c r="E33" s="25" t="str">
        <f aca="false">IF(D33=0,"",D33-B33)</f>
        <v/>
      </c>
      <c r="F33" s="30" t="str">
        <f aca="false">IF(OR($C$118=0,B33=""),"",B33/$C$118)</f>
        <v/>
      </c>
    </row>
    <row r="34" customFormat="false" ht="15" hidden="false" customHeight="false" outlineLevel="0" collapsed="false">
      <c r="A34" s="41" t="str">
        <f aca="false">IF(Július!A34="","",Július!A34)</f>
        <v/>
      </c>
      <c r="B34" s="42"/>
      <c r="C34" s="25"/>
      <c r="D34" s="42"/>
      <c r="E34" s="25" t="str">
        <f aca="false">IF(D34=0,"",D34-B34)</f>
        <v/>
      </c>
      <c r="F34" s="30" t="str">
        <f aca="false">IF(OR($C$118=0,B34=""),"",B34/$C$118)</f>
        <v/>
      </c>
    </row>
    <row r="35" customFormat="false" ht="15" hidden="false" customHeight="false" outlineLevel="0" collapsed="false">
      <c r="A35" s="43" t="s">
        <v>87</v>
      </c>
      <c r="B35" s="35"/>
      <c r="C35" s="44" t="n">
        <f aca="false">SUM(B31:B34)</f>
        <v>0</v>
      </c>
      <c r="D35" s="44" t="n">
        <f aca="false">SUM(D31:D34)</f>
        <v>0</v>
      </c>
      <c r="E35" s="44" t="str">
        <f aca="false">IF(D35=0,"",D35-C35)</f>
        <v/>
      </c>
      <c r="F35" s="45" t="str">
        <f aca="false">IF(OR($C$118=0,C35=""),"",C35/$C$118)</f>
        <v/>
      </c>
    </row>
    <row r="36" customFormat="false" ht="15" hidden="false" customHeight="false" outlineLevel="0" collapsed="false">
      <c r="A36" s="39" t="s">
        <v>44</v>
      </c>
      <c r="B36" s="40"/>
      <c r="C36" s="40"/>
      <c r="D36" s="40"/>
      <c r="E36" s="40"/>
      <c r="F36" s="40"/>
    </row>
    <row r="37" customFormat="false" ht="15" hidden="false" customHeight="false" outlineLevel="0" collapsed="false">
      <c r="A37" s="41" t="str">
        <f aca="false">IF(Július!A37="","",Július!A37)</f>
        <v>Nagybevásárlások</v>
      </c>
      <c r="B37" s="42"/>
      <c r="C37" s="25"/>
      <c r="D37" s="42"/>
      <c r="E37" s="25" t="str">
        <f aca="false">IF(D37=0,"",D37-B37)</f>
        <v/>
      </c>
      <c r="F37" s="30" t="str">
        <f aca="false">IF(OR($C$118=0,B37=""),"",B37/$C$118)</f>
        <v/>
      </c>
    </row>
    <row r="38" customFormat="false" ht="15" hidden="false" customHeight="false" outlineLevel="0" collapsed="false">
      <c r="A38" s="41" t="str">
        <f aca="false">IF(Július!A38="","",Július!A38)</f>
        <v>Drogéria</v>
      </c>
      <c r="B38" s="42"/>
      <c r="C38" s="25"/>
      <c r="D38" s="42"/>
      <c r="E38" s="25" t="str">
        <f aca="false">IF(D38=0,"",D38-B38)</f>
        <v/>
      </c>
      <c r="F38" s="30" t="str">
        <f aca="false">IF(OR($C$118=0,B38=""),"",B38/$C$118)</f>
        <v/>
      </c>
    </row>
    <row r="39" customFormat="false" ht="15" hidden="false" customHeight="false" outlineLevel="0" collapsed="false">
      <c r="A39" s="41" t="str">
        <f aca="false">IF(Július!A39="","",Július!A39)</f>
        <v>Ételrendelés</v>
      </c>
      <c r="B39" s="42"/>
      <c r="C39" s="25"/>
      <c r="D39" s="42"/>
      <c r="E39" s="25" t="str">
        <f aca="false">IF(D39=0,"",D39-B39)</f>
        <v/>
      </c>
      <c r="F39" s="30" t="str">
        <f aca="false">IF(OR($C$118=0,B39=""),"",B39/$C$118)</f>
        <v/>
      </c>
    </row>
    <row r="40" customFormat="false" ht="15" hidden="false" customHeight="false" outlineLevel="0" collapsed="false">
      <c r="A40" s="41" t="str">
        <f aca="false">IF(Július!A40="","",Július!A40)</f>
        <v>Egyéb élelmiszer, bevásárlás</v>
      </c>
      <c r="B40" s="42"/>
      <c r="C40" s="25"/>
      <c r="D40" s="42"/>
      <c r="E40" s="25" t="str">
        <f aca="false">IF(D40=0,"",D40-B40)</f>
        <v/>
      </c>
      <c r="F40" s="30" t="str">
        <f aca="false">IF(OR($C$118=0,B40=""),"",B40/$C$118)</f>
        <v/>
      </c>
    </row>
    <row r="41" customFormat="false" ht="15" hidden="false" customHeight="false" outlineLevel="0" collapsed="false">
      <c r="A41" s="41" t="str">
        <f aca="false">IF(Július!A41="","",Július!A41)</f>
        <v/>
      </c>
      <c r="B41" s="42"/>
      <c r="C41" s="25"/>
      <c r="D41" s="42"/>
      <c r="E41" s="25" t="str">
        <f aca="false">IF(D41=0,"",D41-B41)</f>
        <v/>
      </c>
      <c r="F41" s="30" t="str">
        <f aca="false">IF(OR($C$118=0,B41=""),"",B41/$C$118)</f>
        <v/>
      </c>
    </row>
    <row r="42" customFormat="false" ht="15" hidden="false" customHeight="false" outlineLevel="0" collapsed="false">
      <c r="A42" s="43" t="s">
        <v>92</v>
      </c>
      <c r="B42" s="35"/>
      <c r="C42" s="44" t="n">
        <f aca="false">SUM(B37:B41)</f>
        <v>0</v>
      </c>
      <c r="D42" s="44" t="n">
        <f aca="false">SUM(D37:D41)</f>
        <v>0</v>
      </c>
      <c r="E42" s="44" t="str">
        <f aca="false">IF(D42=0,"",D42-C42)</f>
        <v/>
      </c>
      <c r="F42" s="45" t="str">
        <f aca="false">IF(OR($C$118=0,C42=""),"",C42/$C$118)</f>
        <v/>
      </c>
    </row>
    <row r="43" customFormat="false" ht="15" hidden="false" customHeight="false" outlineLevel="0" collapsed="false">
      <c r="A43" s="39" t="s">
        <v>45</v>
      </c>
      <c r="B43" s="40"/>
      <c r="C43" s="40"/>
      <c r="D43" s="40"/>
      <c r="E43" s="40"/>
      <c r="F43" s="40"/>
    </row>
    <row r="44" customFormat="false" ht="15" hidden="false" customHeight="false" outlineLevel="0" collapsed="false">
      <c r="A44" s="41" t="str">
        <f aca="false">IF(Július!A44="","",Július!A44)</f>
        <v>Lakásbiztosítás</v>
      </c>
      <c r="B44" s="42"/>
      <c r="C44" s="25"/>
      <c r="D44" s="42"/>
      <c r="E44" s="25" t="str">
        <f aca="false">IF(D44=0,"",D44-B44)</f>
        <v/>
      </c>
      <c r="F44" s="30" t="str">
        <f aca="false">IF(OR($C$118=0,B44=""),"",B44/$C$118)</f>
        <v/>
      </c>
    </row>
    <row r="45" customFormat="false" ht="15" hidden="false" customHeight="false" outlineLevel="0" collapsed="false">
      <c r="A45" s="41" t="str">
        <f aca="false">IF(Július!A45="","",Július!A45)</f>
        <v>Életbiztosítás</v>
      </c>
      <c r="B45" s="42"/>
      <c r="C45" s="25"/>
      <c r="D45" s="42"/>
      <c r="E45" s="25" t="str">
        <f aca="false">IF(D45=0,"",D45-B45)</f>
        <v/>
      </c>
      <c r="F45" s="30" t="str">
        <f aca="false">IF(OR($C$118=0,B45=""),"",B45/$C$118)</f>
        <v/>
      </c>
    </row>
    <row r="46" customFormat="false" ht="15" hidden="false" customHeight="false" outlineLevel="0" collapsed="false">
      <c r="A46" s="41" t="str">
        <f aca="false">IF(Július!A46="","",Július!A46)</f>
        <v>Baleset- és betegségbiztosítás</v>
      </c>
      <c r="B46" s="42"/>
      <c r="C46" s="25"/>
      <c r="D46" s="42"/>
      <c r="E46" s="25" t="str">
        <f aca="false">IF(D46=0,"",D46-B46)</f>
        <v/>
      </c>
      <c r="F46" s="30" t="str">
        <f aca="false">IF(OR($C$118=0,B46=""),"",B46/$C$118)</f>
        <v/>
      </c>
    </row>
    <row r="47" customFormat="false" ht="15" hidden="false" customHeight="false" outlineLevel="0" collapsed="false">
      <c r="A47" s="41" t="str">
        <f aca="false">IF(Július!A47="","",Július!A47)</f>
        <v>Egészségbiztosítás</v>
      </c>
      <c r="B47" s="42"/>
      <c r="C47" s="25"/>
      <c r="D47" s="42"/>
      <c r="E47" s="25" t="str">
        <f aca="false">IF(D47=0,"",D47-B47)</f>
        <v/>
      </c>
      <c r="F47" s="30" t="str">
        <f aca="false">IF(OR($C$118=0,B47=""),"",B47/$C$118)</f>
        <v/>
      </c>
    </row>
    <row r="48" customFormat="false" ht="15" hidden="false" customHeight="false" outlineLevel="0" collapsed="false">
      <c r="A48" s="41" t="str">
        <f aca="false">IF(Július!A48="","",Július!A48)</f>
        <v>Hiteltörlesztés</v>
      </c>
      <c r="B48" s="42"/>
      <c r="C48" s="25"/>
      <c r="D48" s="42"/>
      <c r="E48" s="25" t="str">
        <f aca="false">IF(D48=0,"",D48-B48)</f>
        <v/>
      </c>
      <c r="F48" s="30" t="str">
        <f aca="false">IF(OR($C$118=0,B48=""),"",B48/$C$118)</f>
        <v/>
      </c>
    </row>
    <row r="49" customFormat="false" ht="15" hidden="false" customHeight="false" outlineLevel="0" collapsed="false">
      <c r="A49" s="41" t="str">
        <f aca="false">IF(Július!A49="","",Július!A49)</f>
        <v>Egyéb szerződés</v>
      </c>
      <c r="B49" s="42"/>
      <c r="C49" s="25"/>
      <c r="D49" s="42"/>
      <c r="E49" s="25" t="str">
        <f aca="false">IF(D49=0,"",D49-B49)</f>
        <v/>
      </c>
      <c r="F49" s="30" t="str">
        <f aca="false">IF(OR($C$118=0,B49=""),"",B49/$C$118)</f>
        <v/>
      </c>
    </row>
    <row r="50" customFormat="false" ht="15" hidden="false" customHeight="false" outlineLevel="0" collapsed="false">
      <c r="A50" s="41" t="str">
        <f aca="false">IF(Július!A50="","",Július!A50)</f>
        <v/>
      </c>
      <c r="B50" s="42"/>
      <c r="C50" s="25"/>
      <c r="D50" s="42"/>
      <c r="E50" s="25" t="str">
        <f aca="false">IF(D50=0,"",D50-B50)</f>
        <v/>
      </c>
      <c r="F50" s="30" t="str">
        <f aca="false">IF(OR($C$118=0,B50=""),"",B50/$C$118)</f>
        <v/>
      </c>
    </row>
    <row r="51" customFormat="false" ht="15" hidden="false" customHeight="false" outlineLevel="0" collapsed="false">
      <c r="A51" s="41" t="str">
        <f aca="false">IF(Július!A51="","",Július!A51)</f>
        <v/>
      </c>
      <c r="B51" s="42"/>
      <c r="C51" s="25"/>
      <c r="D51" s="42"/>
      <c r="E51" s="25" t="str">
        <f aca="false">IF(D51=0,"",D51-B51)</f>
        <v/>
      </c>
      <c r="F51" s="30" t="str">
        <f aca="false">IF(OR($C$118=0,B51=""),"",B51/$C$118)</f>
        <v/>
      </c>
    </row>
    <row r="52" customFormat="false" ht="15" hidden="false" customHeight="false" outlineLevel="0" collapsed="false">
      <c r="A52" s="43" t="s">
        <v>99</v>
      </c>
      <c r="B52" s="35"/>
      <c r="C52" s="44" t="n">
        <f aca="false">SUM(B44:B51)</f>
        <v>0</v>
      </c>
      <c r="D52" s="44" t="n">
        <f aca="false">SUM(D44:D51)</f>
        <v>0</v>
      </c>
      <c r="E52" s="44" t="str">
        <f aca="false">IF(D52=0,"",D52-C52)</f>
        <v/>
      </c>
      <c r="F52" s="45" t="str">
        <f aca="false">IF(OR($C$118=0,C52=""),"",C52/$C$118)</f>
        <v/>
      </c>
    </row>
    <row r="53" customFormat="false" ht="15" hidden="false" customHeight="false" outlineLevel="0" collapsed="false">
      <c r="A53" s="39" t="s">
        <v>46</v>
      </c>
      <c r="B53" s="40"/>
      <c r="C53" s="40"/>
      <c r="D53" s="40"/>
      <c r="E53" s="40"/>
      <c r="F53" s="40"/>
    </row>
    <row r="54" customFormat="false" ht="15" hidden="false" customHeight="false" outlineLevel="0" collapsed="false">
      <c r="A54" s="41" t="str">
        <f aca="false">IF(Július!A54="","",Július!A54)</f>
        <v>Üzemanyag, elektromos töltés</v>
      </c>
      <c r="B54" s="42"/>
      <c r="C54" s="25"/>
      <c r="D54" s="42"/>
      <c r="E54" s="25" t="str">
        <f aca="false">IF(D54=0,"",D54-B54)</f>
        <v/>
      </c>
      <c r="F54" s="30" t="str">
        <f aca="false">IF(OR($C$118=0,B54=""),"",B54/$C$118)</f>
        <v/>
      </c>
    </row>
    <row r="55" customFormat="false" ht="15" hidden="false" customHeight="false" outlineLevel="0" collapsed="false">
      <c r="A55" s="41" t="str">
        <f aca="false">IF(Július!A55="","",Július!A55)</f>
        <v>Parkolás, útdíj, autópálya-matrica</v>
      </c>
      <c r="B55" s="42"/>
      <c r="C55" s="25"/>
      <c r="D55" s="42"/>
      <c r="E55" s="25" t="str">
        <f aca="false">IF(D55=0,"",D55-B55)</f>
        <v/>
      </c>
      <c r="F55" s="30" t="str">
        <f aca="false">IF(OR($C$118=0,B55=""),"",B55/$C$118)</f>
        <v/>
      </c>
    </row>
    <row r="56" customFormat="false" ht="15" hidden="false" customHeight="false" outlineLevel="0" collapsed="false">
      <c r="A56" s="41" t="str">
        <f aca="false">IF(Július!A56="","",Július!A56)</f>
        <v>Szerviz, karbantartás, gumicsere</v>
      </c>
      <c r="B56" s="42"/>
      <c r="C56" s="25"/>
      <c r="D56" s="42"/>
      <c r="E56" s="25" t="str">
        <f aca="false">IF(D56=0,"",D56-B56)</f>
        <v/>
      </c>
      <c r="F56" s="30" t="str">
        <f aca="false">IF(OR($C$118=0,B56=""),"",B56/$C$118)</f>
        <v/>
      </c>
    </row>
    <row r="57" customFormat="false" ht="15" hidden="false" customHeight="false" outlineLevel="0" collapsed="false">
      <c r="A57" s="41" t="str">
        <f aca="false">IF(Július!A57="","",Július!A57)</f>
        <v>KGFB (kötelező biztosítás)</v>
      </c>
      <c r="B57" s="42"/>
      <c r="C57" s="25"/>
      <c r="D57" s="42"/>
      <c r="E57" s="25" t="str">
        <f aca="false">IF(D57=0,"",D57-B57)</f>
        <v/>
      </c>
      <c r="F57" s="30" t="str">
        <f aca="false">IF(OR($C$118=0,B57=""),"",B57/$C$118)</f>
        <v/>
      </c>
    </row>
    <row r="58" customFormat="false" ht="15" hidden="false" customHeight="false" outlineLevel="0" collapsed="false">
      <c r="A58" s="41" t="str">
        <f aca="false">IF(Július!A58="","",Július!A58)</f>
        <v>CASCO</v>
      </c>
      <c r="B58" s="42"/>
      <c r="C58" s="25"/>
      <c r="D58" s="42"/>
      <c r="E58" s="25" t="str">
        <f aca="false">IF(D58=0,"",D58-B58)</f>
        <v/>
      </c>
      <c r="F58" s="30" t="str">
        <f aca="false">IF(OR($C$118=0,B58=""),"",B58/$C$118)</f>
        <v/>
      </c>
    </row>
    <row r="59" customFormat="false" ht="15" hidden="false" customHeight="false" outlineLevel="0" collapsed="false">
      <c r="A59" s="41" t="str">
        <f aca="false">IF(Július!A59="","",Július!A59)</f>
        <v>Gépjárműadó</v>
      </c>
      <c r="B59" s="42"/>
      <c r="C59" s="25"/>
      <c r="D59" s="42"/>
      <c r="E59" s="25" t="str">
        <f aca="false">IF(D59=0,"",D59-B59)</f>
        <v/>
      </c>
      <c r="F59" s="30" t="str">
        <f aca="false">IF(OR($C$118=0,B59=""),"",B59/$C$118)</f>
        <v/>
      </c>
    </row>
    <row r="60" customFormat="false" ht="15" hidden="false" customHeight="false" outlineLevel="0" collapsed="false">
      <c r="A60" s="41" t="str">
        <f aca="false">IF(Július!A60="","",Július!A60)</f>
        <v>Autóhitel, lízing részlet</v>
      </c>
      <c r="B60" s="42"/>
      <c r="C60" s="25"/>
      <c r="D60" s="42"/>
      <c r="E60" s="25" t="str">
        <f aca="false">IF(D60=0,"",D60-B60)</f>
        <v/>
      </c>
      <c r="F60" s="30" t="str">
        <f aca="false">IF(OR($C$118=0,B60=""),"",B60/$C$118)</f>
        <v/>
      </c>
    </row>
    <row r="61" customFormat="false" ht="15" hidden="false" customHeight="false" outlineLevel="0" collapsed="false">
      <c r="A61" s="41" t="str">
        <f aca="false">IF(Július!A61="","",Július!A61)</f>
        <v>Autómosás, egyéb autós költség</v>
      </c>
      <c r="B61" s="42"/>
      <c r="C61" s="25"/>
      <c r="D61" s="42"/>
      <c r="E61" s="25" t="str">
        <f aca="false">IF(D61=0,"",D61-B61)</f>
        <v/>
      </c>
      <c r="F61" s="30" t="str">
        <f aca="false">IF(OR($C$118=0,B61=""),"",B61/$C$118)</f>
        <v/>
      </c>
    </row>
    <row r="62" customFormat="false" ht="15" hidden="false" customHeight="false" outlineLevel="0" collapsed="false">
      <c r="A62" s="41" t="str">
        <f aca="false">IF(Július!A62="","",Július!A62)</f>
        <v>Tömegközlekedés, bérlet</v>
      </c>
      <c r="B62" s="42"/>
      <c r="C62" s="25"/>
      <c r="D62" s="42"/>
      <c r="E62" s="25" t="str">
        <f aca="false">IF(D62=0,"",D62-B62)</f>
        <v/>
      </c>
      <c r="F62" s="30" t="str">
        <f aca="false">IF(OR($C$118=0,B62=""),"",B62/$C$118)</f>
        <v/>
      </c>
    </row>
    <row r="63" customFormat="false" ht="15" hidden="false" customHeight="false" outlineLevel="0" collapsed="false">
      <c r="A63" s="41" t="str">
        <f aca="false">IF(Július!A63="","",Július!A63)</f>
        <v>Taxi, roller, bicikli, közösségi közlekedés</v>
      </c>
      <c r="B63" s="42"/>
      <c r="C63" s="25"/>
      <c r="D63" s="42"/>
      <c r="E63" s="25" t="str">
        <f aca="false">IF(D63=0,"",D63-B63)</f>
        <v/>
      </c>
      <c r="F63" s="30" t="str">
        <f aca="false">IF(OR($C$118=0,B63=""),"",B63/$C$118)</f>
        <v/>
      </c>
    </row>
    <row r="64" customFormat="false" ht="15" hidden="false" customHeight="false" outlineLevel="0" collapsed="false">
      <c r="A64" s="41" t="str">
        <f aca="false">IF(Július!A64="","",Július!A64)</f>
        <v/>
      </c>
      <c r="B64" s="42"/>
      <c r="C64" s="25"/>
      <c r="D64" s="42"/>
      <c r="E64" s="25" t="str">
        <f aca="false">IF(D64=0,"",D64-B64)</f>
        <v/>
      </c>
      <c r="F64" s="30" t="str">
        <f aca="false">IF(OR($C$118=0,B64=""),"",B64/$C$118)</f>
        <v/>
      </c>
    </row>
    <row r="65" customFormat="false" ht="15" hidden="false" customHeight="false" outlineLevel="0" collapsed="false">
      <c r="A65" s="41" t="str">
        <f aca="false">IF(Július!A65="","",Július!A65)</f>
        <v/>
      </c>
      <c r="B65" s="42"/>
      <c r="C65" s="25"/>
      <c r="D65" s="42"/>
      <c r="E65" s="25" t="str">
        <f aca="false">IF(D65=0,"",D65-B65)</f>
        <v/>
      </c>
      <c r="F65" s="30" t="str">
        <f aca="false">IF(OR($C$118=0,B65=""),"",B65/$C$118)</f>
        <v/>
      </c>
    </row>
    <row r="66" customFormat="false" ht="15" hidden="false" customHeight="false" outlineLevel="0" collapsed="false">
      <c r="A66" s="43" t="s">
        <v>110</v>
      </c>
      <c r="B66" s="35"/>
      <c r="C66" s="44" t="n">
        <f aca="false">SUM(B54:B65)</f>
        <v>0</v>
      </c>
      <c r="D66" s="44" t="n">
        <f aca="false">SUM(D54:D65)</f>
        <v>0</v>
      </c>
      <c r="E66" s="44" t="str">
        <f aca="false">IF(D66=0,"",D66-C66)</f>
        <v/>
      </c>
      <c r="F66" s="45" t="str">
        <f aca="false">IF(OR($C$118=0,C66=""),"",C66/$C$118)</f>
        <v/>
      </c>
    </row>
    <row r="67" customFormat="false" ht="15" hidden="false" customHeight="false" outlineLevel="0" collapsed="false">
      <c r="A67" s="39" t="s">
        <v>47</v>
      </c>
      <c r="B67" s="40"/>
      <c r="C67" s="40"/>
      <c r="D67" s="40"/>
      <c r="E67" s="40"/>
      <c r="F67" s="40"/>
    </row>
    <row r="68" customFormat="false" ht="15" hidden="false" customHeight="false" outlineLevel="0" collapsed="false">
      <c r="A68" s="41" t="str">
        <f aca="false">IF(Július!A68="","",Július!A68)</f>
        <v>Gyerek ruha, cipő</v>
      </c>
      <c r="B68" s="42"/>
      <c r="C68" s="25"/>
      <c r="D68" s="42"/>
      <c r="E68" s="25" t="str">
        <f aca="false">IF(D68=0,"",D68-B68)</f>
        <v/>
      </c>
      <c r="F68" s="30" t="str">
        <f aca="false">IF(OR($C$118=0,B68=""),"",B68/$C$118)</f>
        <v/>
      </c>
    </row>
    <row r="69" customFormat="false" ht="15" hidden="false" customHeight="false" outlineLevel="0" collapsed="false">
      <c r="A69" s="41" t="str">
        <f aca="false">IF(Július!A69="","",Július!A69)</f>
        <v>Gyerek étkeztetés (menza)</v>
      </c>
      <c r="B69" s="42"/>
      <c r="C69" s="25"/>
      <c r="D69" s="42"/>
      <c r="E69" s="25" t="str">
        <f aca="false">IF(D69=0,"",D69-B69)</f>
        <v/>
      </c>
      <c r="F69" s="30" t="str">
        <f aca="false">IF(OR($C$118=0,B69=""),"",B69/$C$118)</f>
        <v/>
      </c>
    </row>
    <row r="70" customFormat="false" ht="15" hidden="false" customHeight="false" outlineLevel="0" collapsed="false">
      <c r="A70" s="41" t="str">
        <f aca="false">IF(Július!A70="","",Július!A70)</f>
        <v>Bölcsőde, óvoda, iskola díjai</v>
      </c>
      <c r="B70" s="42"/>
      <c r="C70" s="25"/>
      <c r="D70" s="42"/>
      <c r="E70" s="25" t="str">
        <f aca="false">IF(D70=0,"",D70-B70)</f>
        <v/>
      </c>
      <c r="F70" s="30" t="str">
        <f aca="false">IF(OR($C$118=0,B70=""),"",B70/$C$118)</f>
        <v/>
      </c>
    </row>
    <row r="71" customFormat="false" ht="15" hidden="false" customHeight="false" outlineLevel="0" collapsed="false">
      <c r="A71" s="41" t="str">
        <f aca="false">IF(Július!A71="","",Július!A71)</f>
        <v>Tankönyv, tanszer</v>
      </c>
      <c r="B71" s="42"/>
      <c r="C71" s="25"/>
      <c r="D71" s="42"/>
      <c r="E71" s="25" t="str">
        <f aca="false">IF(D71=0,"",D71-B71)</f>
        <v/>
      </c>
      <c r="F71" s="30" t="str">
        <f aca="false">IF(OR($C$118=0,B71=""),"",B71/$C$118)</f>
        <v/>
      </c>
    </row>
    <row r="72" customFormat="false" ht="15" hidden="false" customHeight="false" outlineLevel="0" collapsed="false">
      <c r="A72" s="41" t="str">
        <f aca="false">IF(Július!A72="","",Július!A72)</f>
        <v>Különórák, edzések</v>
      </c>
      <c r="B72" s="42"/>
      <c r="C72" s="25"/>
      <c r="D72" s="42"/>
      <c r="E72" s="25" t="str">
        <f aca="false">IF(D72=0,"",D72-B72)</f>
        <v/>
      </c>
      <c r="F72" s="30" t="str">
        <f aca="false">IF(OR($C$118=0,B72=""),"",B72/$C$118)</f>
        <v/>
      </c>
    </row>
    <row r="73" customFormat="false" ht="15" hidden="false" customHeight="false" outlineLevel="0" collapsed="false">
      <c r="A73" s="41" t="str">
        <f aca="false">IF(Július!A73="","",Július!A73)</f>
        <v>Magánóra, korrepetálás</v>
      </c>
      <c r="B73" s="42"/>
      <c r="C73" s="25"/>
      <c r="D73" s="42"/>
      <c r="E73" s="25" t="str">
        <f aca="false">IF(D73=0,"",D73-B73)</f>
        <v/>
      </c>
      <c r="F73" s="30" t="str">
        <f aca="false">IF(OR($C$118=0,B73=""),"",B73/$C$118)</f>
        <v/>
      </c>
    </row>
    <row r="74" customFormat="false" ht="15" hidden="false" customHeight="false" outlineLevel="0" collapsed="false">
      <c r="A74" s="41" t="str">
        <f aca="false">IF(Július!A74="","",Július!A74)</f>
        <v>Zsebpénz</v>
      </c>
      <c r="B74" s="42"/>
      <c r="C74" s="25"/>
      <c r="D74" s="42"/>
      <c r="E74" s="25" t="str">
        <f aca="false">IF(D74=0,"",D74-B74)</f>
        <v/>
      </c>
      <c r="F74" s="30" t="str">
        <f aca="false">IF(OR($C$118=0,B74=""),"",B74/$C$118)</f>
        <v/>
      </c>
    </row>
    <row r="75" customFormat="false" ht="15" hidden="false" customHeight="false" outlineLevel="0" collapsed="false">
      <c r="A75" s="41" t="str">
        <f aca="false">IF(Július!A75="","",Július!A75)</f>
        <v>Játékok, szórakozás</v>
      </c>
      <c r="B75" s="42"/>
      <c r="C75" s="25"/>
      <c r="D75" s="42"/>
      <c r="E75" s="25" t="str">
        <f aca="false">IF(D75=0,"",D75-B75)</f>
        <v/>
      </c>
      <c r="F75" s="30" t="str">
        <f aca="false">IF(OR($C$118=0,B75=""),"",B75/$C$118)</f>
        <v/>
      </c>
    </row>
    <row r="76" customFormat="false" ht="15" hidden="false" customHeight="false" outlineLevel="0" collapsed="false">
      <c r="A76" s="41" t="str">
        <f aca="false">IF(Július!A76="","",Július!A76)</f>
        <v/>
      </c>
      <c r="B76" s="42"/>
      <c r="C76" s="25"/>
      <c r="D76" s="42"/>
      <c r="E76" s="25" t="str">
        <f aca="false">IF(D76=0,"",D76-B76)</f>
        <v/>
      </c>
      <c r="F76" s="30" t="str">
        <f aca="false">IF(OR($C$118=0,B76=""),"",B76/$C$118)</f>
        <v/>
      </c>
    </row>
    <row r="77" customFormat="false" ht="15" hidden="false" customHeight="false" outlineLevel="0" collapsed="false">
      <c r="A77" s="41" t="str">
        <f aca="false">IF(Július!A77="","",Július!A77)</f>
        <v/>
      </c>
      <c r="B77" s="42"/>
      <c r="C77" s="25"/>
      <c r="D77" s="42"/>
      <c r="E77" s="25" t="str">
        <f aca="false">IF(D77=0,"",D77-B77)</f>
        <v/>
      </c>
      <c r="F77" s="30" t="str">
        <f aca="false">IF(OR($C$118=0,B77=""),"",B77/$C$118)</f>
        <v/>
      </c>
    </row>
    <row r="78" customFormat="false" ht="15" hidden="false" customHeight="false" outlineLevel="0" collapsed="false">
      <c r="A78" s="41" t="str">
        <f aca="false">IF(Július!A78="","",Július!A78)</f>
        <v/>
      </c>
      <c r="B78" s="42"/>
      <c r="C78" s="25"/>
      <c r="D78" s="42"/>
      <c r="E78" s="25" t="str">
        <f aca="false">IF(D78=0,"",D78-B78)</f>
        <v/>
      </c>
      <c r="F78" s="30" t="str">
        <f aca="false">IF(OR($C$118=0,B78=""),"",B78/$C$118)</f>
        <v/>
      </c>
    </row>
    <row r="79" customFormat="false" ht="15" hidden="false" customHeight="false" outlineLevel="0" collapsed="false">
      <c r="A79" s="43" t="s">
        <v>119</v>
      </c>
      <c r="B79" s="35"/>
      <c r="C79" s="44" t="n">
        <f aca="false">SUM(B68:B78)</f>
        <v>0</v>
      </c>
      <c r="D79" s="44" t="n">
        <f aca="false">SUM(D68:D78)</f>
        <v>0</v>
      </c>
      <c r="E79" s="44" t="str">
        <f aca="false">IF(D79=0,"",D79-C79)</f>
        <v/>
      </c>
      <c r="F79" s="45" t="str">
        <f aca="false">IF(OR($C$118=0,C79=""),"",C79/$C$118)</f>
        <v/>
      </c>
    </row>
    <row r="80" customFormat="false" ht="15" hidden="false" customHeight="false" outlineLevel="0" collapsed="false">
      <c r="A80" s="39" t="s">
        <v>48</v>
      </c>
      <c r="B80" s="40"/>
      <c r="C80" s="40"/>
      <c r="D80" s="40"/>
      <c r="E80" s="40"/>
      <c r="F80" s="40"/>
    </row>
    <row r="81" customFormat="false" ht="15" hidden="false" customHeight="false" outlineLevel="0" collapsed="false">
      <c r="A81" s="41" t="str">
        <f aca="false">IF(Július!A81="","",Július!A81)</f>
        <v>Ruha</v>
      </c>
      <c r="B81" s="42"/>
      <c r="C81" s="25"/>
      <c r="D81" s="42"/>
      <c r="E81" s="25" t="str">
        <f aca="false">IF(D81=0,"",D81-B81)</f>
        <v/>
      </c>
      <c r="F81" s="30" t="str">
        <f aca="false">IF(OR($C$118=0,B81=""),"",B81/$C$118)</f>
        <v/>
      </c>
    </row>
    <row r="82" customFormat="false" ht="15" hidden="false" customHeight="false" outlineLevel="0" collapsed="false">
      <c r="A82" s="41" t="str">
        <f aca="false">IF(Július!A82="","",Július!A82)</f>
        <v>Cipő</v>
      </c>
      <c r="B82" s="42"/>
      <c r="C82" s="25"/>
      <c r="D82" s="42"/>
      <c r="E82" s="25" t="str">
        <f aca="false">IF(D82=0,"",D82-B82)</f>
        <v/>
      </c>
      <c r="F82" s="30" t="str">
        <f aca="false">IF(OR($C$118=0,B82=""),"",B82/$C$118)</f>
        <v/>
      </c>
    </row>
    <row r="83" customFormat="false" ht="15" hidden="false" customHeight="false" outlineLevel="0" collapsed="false">
      <c r="A83" s="41" t="str">
        <f aca="false">IF(Július!A83="","",Július!A83)</f>
        <v>Kiegészítők (táska, ékszer, óra)</v>
      </c>
      <c r="B83" s="42"/>
      <c r="C83" s="25"/>
      <c r="D83" s="42"/>
      <c r="E83" s="25" t="str">
        <f aca="false">IF(D83=0,"",D83-B83)</f>
        <v/>
      </c>
      <c r="F83" s="30" t="str">
        <f aca="false">IF(OR($C$118=0,B83=""),"",B83/$C$118)</f>
        <v/>
      </c>
    </row>
    <row r="84" customFormat="false" ht="15" hidden="false" customHeight="false" outlineLevel="0" collapsed="false">
      <c r="A84" s="41" t="str">
        <f aca="false">IF(Július!A84="","",Július!A84)</f>
        <v/>
      </c>
      <c r="B84" s="42"/>
      <c r="C84" s="25"/>
      <c r="D84" s="42"/>
      <c r="E84" s="25" t="str">
        <f aca="false">IF(D84=0,"",D84-B84)</f>
        <v/>
      </c>
      <c r="F84" s="30" t="str">
        <f aca="false">IF(OR($C$118=0,B84=""),"",B84/$C$118)</f>
        <v/>
      </c>
    </row>
    <row r="85" customFormat="false" ht="15" hidden="false" customHeight="false" outlineLevel="0" collapsed="false">
      <c r="A85" s="43" t="s">
        <v>123</v>
      </c>
      <c r="B85" s="35"/>
      <c r="C85" s="44" t="n">
        <f aca="false">SUM(B81:B84)</f>
        <v>0</v>
      </c>
      <c r="D85" s="44" t="n">
        <f aca="false">SUM(D81:D84)</f>
        <v>0</v>
      </c>
      <c r="E85" s="44" t="str">
        <f aca="false">IF(D85=0,"",D85-C85)</f>
        <v/>
      </c>
      <c r="F85" s="45" t="str">
        <f aca="false">IF(OR($C$118=0,C85=""),"",C85/$C$118)</f>
        <v/>
      </c>
    </row>
    <row r="86" customFormat="false" ht="15" hidden="false" customHeight="false" outlineLevel="0" collapsed="false">
      <c r="A86" s="39" t="s">
        <v>49</v>
      </c>
      <c r="B86" s="40"/>
      <c r="C86" s="40"/>
      <c r="D86" s="40"/>
      <c r="E86" s="40"/>
      <c r="F86" s="40"/>
    </row>
    <row r="87" customFormat="false" ht="15" hidden="false" customHeight="false" outlineLevel="0" collapsed="false">
      <c r="A87" s="41" t="str">
        <f aca="false">IF(Július!A87="","",Július!A87)</f>
        <v>Fodrász, borbély</v>
      </c>
      <c r="B87" s="42"/>
      <c r="C87" s="25"/>
      <c r="D87" s="42"/>
      <c r="E87" s="25" t="str">
        <f aca="false">IF(D87=0,"",D87-B87)</f>
        <v/>
      </c>
      <c r="F87" s="30" t="str">
        <f aca="false">IF(OR($C$118=0,B87=""),"",B87/$C$118)</f>
        <v/>
      </c>
    </row>
    <row r="88" customFormat="false" ht="15" hidden="false" customHeight="false" outlineLevel="0" collapsed="false">
      <c r="A88" s="41" t="str">
        <f aca="false">IF(Július!A88="","",Július!A88)</f>
        <v>Kozmetikus, manikűr, pedikűr</v>
      </c>
      <c r="B88" s="42"/>
      <c r="C88" s="25"/>
      <c r="D88" s="42"/>
      <c r="E88" s="25" t="str">
        <f aca="false">IF(D88=0,"",D88-B88)</f>
        <v/>
      </c>
      <c r="F88" s="30" t="str">
        <f aca="false">IF(OR($C$118=0,B88=""),"",B88/$C$118)</f>
        <v/>
      </c>
    </row>
    <row r="89" customFormat="false" ht="15" hidden="false" customHeight="false" outlineLevel="0" collapsed="false">
      <c r="A89" s="41" t="str">
        <f aca="false">IF(Július!A89="","",Július!A89)</f>
        <v>Kozmetikumok, parfüm</v>
      </c>
      <c r="B89" s="42"/>
      <c r="C89" s="25"/>
      <c r="D89" s="42"/>
      <c r="E89" s="25" t="str">
        <f aca="false">IF(D89=0,"",D89-B89)</f>
        <v/>
      </c>
      <c r="F89" s="30" t="str">
        <f aca="false">IF(OR($C$118=0,B89=""),"",B89/$C$118)</f>
        <v/>
      </c>
    </row>
    <row r="90" customFormat="false" ht="15" hidden="false" customHeight="false" outlineLevel="0" collapsed="false">
      <c r="A90" s="41" t="str">
        <f aca="false">IF(Július!A90="","",Július!A90)</f>
        <v>Edzés, sport, bérlet</v>
      </c>
      <c r="B90" s="42"/>
      <c r="C90" s="25"/>
      <c r="D90" s="42"/>
      <c r="E90" s="25" t="str">
        <f aca="false">IF(D90=0,"",D90-B90)</f>
        <v/>
      </c>
      <c r="F90" s="30" t="str">
        <f aca="false">IF(OR($C$118=0,B90=""),"",B90/$C$118)</f>
        <v/>
      </c>
    </row>
    <row r="91" customFormat="false" ht="15" hidden="false" customHeight="false" outlineLevel="0" collapsed="false">
      <c r="A91" s="41" t="str">
        <f aca="false">IF(Július!A91="","",Július!A91)</f>
        <v>Gyógyszer, vitamin</v>
      </c>
      <c r="B91" s="42"/>
      <c r="C91" s="25"/>
      <c r="D91" s="42"/>
      <c r="E91" s="25" t="str">
        <f aca="false">IF(D91=0,"",D91-B91)</f>
        <v/>
      </c>
      <c r="F91" s="30" t="str">
        <f aca="false">IF(OR($C$118=0,B91=""),"",B91/$C$118)</f>
        <v/>
      </c>
    </row>
    <row r="92" customFormat="false" ht="15" hidden="false" customHeight="false" outlineLevel="0" collapsed="false">
      <c r="A92" s="41" t="str">
        <f aca="false">IF(Július!A92="","",Július!A92)</f>
        <v>Orvos, fogorvos, magánrendelés</v>
      </c>
      <c r="B92" s="42"/>
      <c r="C92" s="25"/>
      <c r="D92" s="42"/>
      <c r="E92" s="25" t="str">
        <f aca="false">IF(D92=0,"",D92-B92)</f>
        <v/>
      </c>
      <c r="F92" s="30" t="str">
        <f aca="false">IF(OR($C$118=0,B92=""),"",B92/$C$118)</f>
        <v/>
      </c>
    </row>
    <row r="93" customFormat="false" ht="15" hidden="false" customHeight="false" outlineLevel="0" collapsed="false">
      <c r="A93" s="41" t="str">
        <f aca="false">IF(Július!A93="","",Július!A93)</f>
        <v/>
      </c>
      <c r="B93" s="42"/>
      <c r="C93" s="25"/>
      <c r="D93" s="42"/>
      <c r="E93" s="25" t="str">
        <f aca="false">IF(D93=0,"",D93-B93)</f>
        <v/>
      </c>
      <c r="F93" s="30" t="str">
        <f aca="false">IF(OR($C$118=0,B93=""),"",B93/$C$118)</f>
        <v/>
      </c>
    </row>
    <row r="94" customFormat="false" ht="15" hidden="false" customHeight="false" outlineLevel="0" collapsed="false">
      <c r="A94" s="43" t="s">
        <v>130</v>
      </c>
      <c r="B94" s="35"/>
      <c r="C94" s="44" t="n">
        <f aca="false">SUM(B87:B93)</f>
        <v>0</v>
      </c>
      <c r="D94" s="44" t="n">
        <f aca="false">SUM(D87:D93)</f>
        <v>0</v>
      </c>
      <c r="E94" s="44" t="str">
        <f aca="false">IF(D94=0,"",D94-C94)</f>
        <v/>
      </c>
      <c r="F94" s="45" t="str">
        <f aca="false">IF(OR($C$118=0,C94=""),"",C94/$C$118)</f>
        <v/>
      </c>
    </row>
    <row r="95" customFormat="false" ht="15" hidden="false" customHeight="false" outlineLevel="0" collapsed="false">
      <c r="A95" s="39" t="s">
        <v>50</v>
      </c>
      <c r="B95" s="40"/>
      <c r="C95" s="40"/>
      <c r="D95" s="40"/>
      <c r="E95" s="40"/>
      <c r="F95" s="40"/>
    </row>
    <row r="96" customFormat="false" ht="15" hidden="false" customHeight="false" outlineLevel="0" collapsed="false">
      <c r="A96" s="41" t="str">
        <f aca="false">IF(Július!A96="","",Július!A96)</f>
        <v>Cigaretta, dohány</v>
      </c>
      <c r="B96" s="42"/>
      <c r="C96" s="25"/>
      <c r="D96" s="42"/>
      <c r="E96" s="25" t="str">
        <f aca="false">IF(D96=0,"",D96-B96)</f>
        <v/>
      </c>
      <c r="F96" s="30" t="str">
        <f aca="false">IF(OR($C$118=0,B96=""),"",B96/$C$118)</f>
        <v/>
      </c>
    </row>
    <row r="97" customFormat="false" ht="15" hidden="false" customHeight="false" outlineLevel="0" collapsed="false">
      <c r="A97" s="41" t="str">
        <f aca="false">IF(Július!A97="","",Július!A97)</f>
        <v>E-cigaretta, hevített dohánytermék</v>
      </c>
      <c r="B97" s="42"/>
      <c r="C97" s="25"/>
      <c r="D97" s="42"/>
      <c r="E97" s="25" t="str">
        <f aca="false">IF(D97=0,"",D97-B97)</f>
        <v/>
      </c>
      <c r="F97" s="30" t="str">
        <f aca="false">IF(OR($C$118=0,B97=""),"",B97/$C$118)</f>
        <v/>
      </c>
    </row>
    <row r="98" customFormat="false" ht="15" hidden="false" customHeight="false" outlineLevel="0" collapsed="false">
      <c r="A98" s="41" t="str">
        <f aca="false">IF(Július!A98="","",Július!A98)</f>
        <v/>
      </c>
      <c r="B98" s="42"/>
      <c r="C98" s="25"/>
      <c r="D98" s="42"/>
      <c r="E98" s="25" t="str">
        <f aca="false">IF(D98=0,"",D98-B98)</f>
        <v/>
      </c>
      <c r="F98" s="30" t="str">
        <f aca="false">IF(OR($C$118=0,B98=""),"",B98/$C$118)</f>
        <v/>
      </c>
    </row>
    <row r="99" customFormat="false" ht="15" hidden="false" customHeight="false" outlineLevel="0" collapsed="false">
      <c r="A99" s="43" t="s">
        <v>133</v>
      </c>
      <c r="B99" s="35"/>
      <c r="C99" s="44" t="n">
        <f aca="false">SUM(B96:B98)</f>
        <v>0</v>
      </c>
      <c r="D99" s="44" t="n">
        <f aca="false">SUM(D96:D98)</f>
        <v>0</v>
      </c>
      <c r="E99" s="44" t="str">
        <f aca="false">IF(D99=0,"",D99-C99)</f>
        <v/>
      </c>
      <c r="F99" s="45" t="str">
        <f aca="false">IF(OR($C$118=0,C99=""),"",C99/$C$118)</f>
        <v/>
      </c>
    </row>
    <row r="100" customFormat="false" ht="15" hidden="false" customHeight="false" outlineLevel="0" collapsed="false">
      <c r="A100" s="39" t="s">
        <v>51</v>
      </c>
      <c r="B100" s="40"/>
      <c r="C100" s="40"/>
      <c r="D100" s="40"/>
      <c r="E100" s="40"/>
      <c r="F100" s="40"/>
    </row>
    <row r="101" customFormat="false" ht="15" hidden="false" customHeight="false" outlineLevel="0" collapsed="false">
      <c r="A101" s="41" t="str">
        <f aca="false">IF(Július!A101="","",Július!A101)</f>
        <v>Állateledel, jutalomfalat</v>
      </c>
      <c r="B101" s="42"/>
      <c r="C101" s="25"/>
      <c r="D101" s="42"/>
      <c r="E101" s="25" t="str">
        <f aca="false">IF(D101=0,"",D101-B101)</f>
        <v/>
      </c>
      <c r="F101" s="30" t="str">
        <f aca="false">IF(OR($C$118=0,B101=""),"",B101/$C$118)</f>
        <v/>
      </c>
    </row>
    <row r="102" customFormat="false" ht="15" hidden="false" customHeight="false" outlineLevel="0" collapsed="false">
      <c r="A102" s="41" t="str">
        <f aca="false">IF(Július!A102="","",Július!A102)</f>
        <v>Állatorvos, oltások, gyógyszer</v>
      </c>
      <c r="B102" s="42"/>
      <c r="C102" s="25"/>
      <c r="D102" s="42"/>
      <c r="E102" s="25" t="str">
        <f aca="false">IF(D102=0,"",D102-B102)</f>
        <v/>
      </c>
      <c r="F102" s="30" t="str">
        <f aca="false">IF(OR($C$118=0,B102=""),"",B102/$C$118)</f>
        <v/>
      </c>
    </row>
    <row r="103" customFormat="false" ht="15" hidden="false" customHeight="false" outlineLevel="0" collapsed="false">
      <c r="A103" s="41" t="str">
        <f aca="false">IF(Július!A103="","",Július!A103)</f>
        <v>Felszerelés, alom, játékok</v>
      </c>
      <c r="B103" s="42"/>
      <c r="C103" s="25"/>
      <c r="D103" s="42"/>
      <c r="E103" s="25" t="str">
        <f aca="false">IF(D103=0,"",D103-B103)</f>
        <v/>
      </c>
      <c r="F103" s="30" t="str">
        <f aca="false">IF(OR($C$118=0,B103=""),"",B103/$C$118)</f>
        <v/>
      </c>
    </row>
    <row r="104" customFormat="false" ht="15" hidden="false" customHeight="false" outlineLevel="0" collapsed="false">
      <c r="A104" s="41" t="str">
        <f aca="false">IF(Július!A104="","",Július!A104)</f>
        <v>Kisállat-kozmetika, panzió, kutyaiskola</v>
      </c>
      <c r="B104" s="42"/>
      <c r="C104" s="25"/>
      <c r="D104" s="42"/>
      <c r="E104" s="25" t="str">
        <f aca="false">IF(D104=0,"",D104-B104)</f>
        <v/>
      </c>
      <c r="F104" s="30" t="str">
        <f aca="false">IF(OR($C$118=0,B104=""),"",B104/$C$118)</f>
        <v/>
      </c>
    </row>
    <row r="105" customFormat="false" ht="15" hidden="false" customHeight="false" outlineLevel="0" collapsed="false">
      <c r="A105" s="41" t="str">
        <f aca="false">IF(Július!A105="","",Július!A105)</f>
        <v/>
      </c>
      <c r="B105" s="42"/>
      <c r="C105" s="25"/>
      <c r="D105" s="42"/>
      <c r="E105" s="25" t="str">
        <f aca="false">IF(D105=0,"",D105-B105)</f>
        <v/>
      </c>
      <c r="F105" s="30" t="str">
        <f aca="false">IF(OR($C$118=0,B105=""),"",B105/$C$118)</f>
        <v/>
      </c>
    </row>
    <row r="106" customFormat="false" ht="15" hidden="false" customHeight="false" outlineLevel="0" collapsed="false">
      <c r="A106" s="43" t="s">
        <v>138</v>
      </c>
      <c r="B106" s="35"/>
      <c r="C106" s="44" t="n">
        <f aca="false">SUM(B101:B105)</f>
        <v>0</v>
      </c>
      <c r="D106" s="44" t="n">
        <f aca="false">SUM(D101:D105)</f>
        <v>0</v>
      </c>
      <c r="E106" s="44" t="str">
        <f aca="false">IF(D106=0,"",D106-C106)</f>
        <v/>
      </c>
      <c r="F106" s="45" t="str">
        <f aca="false">IF(OR($C$118=0,C106=""),"",C106/$C$118)</f>
        <v/>
      </c>
    </row>
    <row r="107" customFormat="false" ht="15" hidden="false" customHeight="false" outlineLevel="0" collapsed="false">
      <c r="A107" s="39" t="s">
        <v>52</v>
      </c>
      <c r="B107" s="40"/>
      <c r="C107" s="40"/>
      <c r="D107" s="40"/>
      <c r="E107" s="40"/>
      <c r="F107" s="40"/>
    </row>
    <row r="108" customFormat="false" ht="15" hidden="false" customHeight="false" outlineLevel="0" collapsed="false">
      <c r="A108" s="41" t="str">
        <f aca="false">IF(Július!A108="","",Július!A108)</f>
        <v>Hobbi</v>
      </c>
      <c r="B108" s="42"/>
      <c r="C108" s="25"/>
      <c r="D108" s="42"/>
      <c r="E108" s="25" t="str">
        <f aca="false">IF(D108=0,"",D108-B108)</f>
        <v/>
      </c>
      <c r="F108" s="30" t="str">
        <f aca="false">IF(OR($C$118=0,B108=""),"",B108/$C$118)</f>
        <v/>
      </c>
    </row>
    <row r="109" customFormat="false" ht="15" hidden="false" customHeight="false" outlineLevel="0" collapsed="false">
      <c r="A109" s="41" t="str">
        <f aca="false">IF(Július!A109="","",Július!A109)</f>
        <v>Szórakozás (mozi, színház, koncert, étterem)</v>
      </c>
      <c r="B109" s="42"/>
      <c r="C109" s="25"/>
      <c r="D109" s="42"/>
      <c r="E109" s="25" t="str">
        <f aca="false">IF(D109=0,"",D109-B109)</f>
        <v/>
      </c>
      <c r="F109" s="30" t="str">
        <f aca="false">IF(OR($C$118=0,B109=""),"",B109/$C$118)</f>
        <v/>
      </c>
    </row>
    <row r="110" customFormat="false" ht="15" hidden="false" customHeight="false" outlineLevel="0" collapsed="false">
      <c r="A110" s="41" t="str">
        <f aca="false">IF(Július!A110="","",Július!A110)</f>
        <v>Nyaralás, utazás</v>
      </c>
      <c r="B110" s="42"/>
      <c r="C110" s="25"/>
      <c r="D110" s="42"/>
      <c r="E110" s="25" t="str">
        <f aca="false">IF(D110=0,"",D110-B110)</f>
        <v/>
      </c>
      <c r="F110" s="30" t="str">
        <f aca="false">IF(OR($C$118=0,B110=""),"",B110/$C$118)</f>
        <v/>
      </c>
    </row>
    <row r="111" customFormat="false" ht="15" hidden="false" customHeight="false" outlineLevel="0" collapsed="false">
      <c r="A111" s="41" t="str">
        <f aca="false">IF(Július!A111="","",Július!A111)</f>
        <v/>
      </c>
      <c r="B111" s="42"/>
      <c r="C111" s="25"/>
      <c r="D111" s="42"/>
      <c r="E111" s="25" t="str">
        <f aca="false">IF(D111=0,"",D111-B111)</f>
        <v/>
      </c>
      <c r="F111" s="30" t="str">
        <f aca="false">IF(OR($C$118=0,B111=""),"",B111/$C$118)</f>
        <v/>
      </c>
    </row>
    <row r="112" customFormat="false" ht="15" hidden="false" customHeight="false" outlineLevel="0" collapsed="false">
      <c r="A112" s="43" t="s">
        <v>142</v>
      </c>
      <c r="B112" s="35"/>
      <c r="C112" s="44" t="n">
        <f aca="false">SUM(B108:B111)</f>
        <v>0</v>
      </c>
      <c r="D112" s="44" t="n">
        <f aca="false">SUM(D108:D111)</f>
        <v>0</v>
      </c>
      <c r="E112" s="44" t="str">
        <f aca="false">IF(D112=0,"",D112-C112)</f>
        <v/>
      </c>
      <c r="F112" s="45" t="str">
        <f aca="false">IF(OR($C$118=0,C112=""),"",C112/$C$118)</f>
        <v/>
      </c>
    </row>
    <row r="113" customFormat="false" ht="15" hidden="false" customHeight="false" outlineLevel="0" collapsed="false">
      <c r="A113" s="39" t="s">
        <v>53</v>
      </c>
      <c r="B113" s="40"/>
      <c r="C113" s="40"/>
      <c r="D113" s="40"/>
      <c r="E113" s="40"/>
      <c r="F113" s="40"/>
    </row>
    <row r="114" customFormat="false" ht="15" hidden="false" customHeight="false" outlineLevel="0" collapsed="false">
      <c r="A114" s="41" t="str">
        <f aca="false">IF(Július!A114="","",Július!A114)</f>
        <v>Ünnepek, ajándékok</v>
      </c>
      <c r="B114" s="42"/>
      <c r="C114" s="25"/>
      <c r="D114" s="42"/>
      <c r="E114" s="25" t="str">
        <f aca="false">IF(D114=0,"",D114-B114)</f>
        <v/>
      </c>
      <c r="F114" s="30" t="str">
        <f aca="false">IF(OR($C$118=0,B114=""),"",B114/$C$118)</f>
        <v/>
      </c>
    </row>
    <row r="115" customFormat="false" ht="15" hidden="false" customHeight="false" outlineLevel="0" collapsed="false">
      <c r="A115" s="41" t="str">
        <f aca="false">IF(Július!A115="","",Július!A115)</f>
        <v>Egyéb kiadás</v>
      </c>
      <c r="B115" s="42"/>
      <c r="C115" s="25"/>
      <c r="D115" s="42"/>
      <c r="E115" s="25" t="str">
        <f aca="false">IF(D115=0,"",D115-B115)</f>
        <v/>
      </c>
      <c r="F115" s="30" t="str">
        <f aca="false">IF(OR($C$118=0,B115=""),"",B115/$C$118)</f>
        <v/>
      </c>
    </row>
    <row r="116" customFormat="false" ht="15" hidden="false" customHeight="false" outlineLevel="0" collapsed="false">
      <c r="A116" s="41" t="str">
        <f aca="false">IF(Július!A116="","",Július!A116)</f>
        <v/>
      </c>
      <c r="B116" s="42"/>
      <c r="C116" s="25"/>
      <c r="D116" s="42"/>
      <c r="E116" s="25" t="str">
        <f aca="false">IF(D116=0,"",D116-B116)</f>
        <v/>
      </c>
      <c r="F116" s="30" t="str">
        <f aca="false">IF(OR($C$118=0,B116=""),"",B116/$C$118)</f>
        <v/>
      </c>
    </row>
    <row r="117" customFormat="false" ht="15" hidden="false" customHeight="false" outlineLevel="0" collapsed="false">
      <c r="A117" s="43" t="s">
        <v>145</v>
      </c>
      <c r="B117" s="35"/>
      <c r="C117" s="44" t="n">
        <f aca="false">SUM(B114:B116)</f>
        <v>0</v>
      </c>
      <c r="D117" s="44" t="n">
        <f aca="false">SUM(D114:D116)</f>
        <v>0</v>
      </c>
      <c r="E117" s="44" t="str">
        <f aca="false">IF(D117=0,"",D117-C117)</f>
        <v/>
      </c>
      <c r="F117" s="45" t="str">
        <f aca="false">IF(OR($C$118=0,C117=""),"",C117/$C$118)</f>
        <v/>
      </c>
    </row>
    <row r="118" customFormat="false" ht="15" hidden="false" customHeight="false" outlineLevel="0" collapsed="false">
      <c r="A118" s="33" t="s">
        <v>146</v>
      </c>
      <c r="B118" s="33"/>
      <c r="C118" s="50" t="n">
        <f aca="false">C35+C42+C52+C66+C79+C85+C94+C99+C106+C112+C117</f>
        <v>0</v>
      </c>
      <c r="D118" s="50" t="n">
        <f aca="false">D35+D42+D52+D66+D79+D85+D94+D99+D106+D112+D117</f>
        <v>0</v>
      </c>
      <c r="E118" s="50" t="str">
        <f aca="false">IF(D118=0,"",D118-C118)</f>
        <v/>
      </c>
      <c r="F118" s="51" t="str">
        <f aca="false">IF($C$16=0,"",C118/$C$16)</f>
        <v/>
      </c>
    </row>
    <row r="119" customFormat="false" ht="15" hidden="false" customHeight="false" outlineLevel="0" collapsed="false">
      <c r="A119" s="8" t="s">
        <v>147</v>
      </c>
      <c r="B119" s="8"/>
      <c r="C119" s="8" t="s">
        <v>148</v>
      </c>
      <c r="D119" s="8" t="s">
        <v>149</v>
      </c>
      <c r="E119" s="8"/>
      <c r="F119" s="8" t="s">
        <v>150</v>
      </c>
    </row>
    <row r="120" customFormat="false" ht="15" hidden="false" customHeight="false" outlineLevel="0" collapsed="false">
      <c r="A120" s="13" t="s">
        <v>151</v>
      </c>
      <c r="B120" s="52"/>
      <c r="C120" s="53" t="n">
        <f aca="false">C16</f>
        <v>0</v>
      </c>
      <c r="D120" s="53" t="n">
        <f aca="false">D16</f>
        <v>0</v>
      </c>
      <c r="E120" s="52"/>
      <c r="F120" s="54" t="str">
        <f aca="false">IF($C$120=0,"",C120/$C$120)</f>
        <v/>
      </c>
    </row>
    <row r="121" customFormat="false" ht="15" hidden="false" customHeight="false" outlineLevel="0" collapsed="false">
      <c r="A121" s="17" t="s">
        <v>152</v>
      </c>
      <c r="B121" s="52"/>
      <c r="C121" s="53" t="n">
        <f aca="false">C28</f>
        <v>0</v>
      </c>
      <c r="D121" s="53" t="n">
        <f aca="false">D28</f>
        <v>0</v>
      </c>
      <c r="E121" s="52"/>
      <c r="F121" s="54" t="str">
        <f aca="false">IF($C$120=0,"",C121/$C$120)</f>
        <v/>
      </c>
    </row>
    <row r="122" customFormat="false" ht="15" hidden="false" customHeight="false" outlineLevel="0" collapsed="false">
      <c r="A122" s="18" t="s">
        <v>153</v>
      </c>
      <c r="B122" s="52"/>
      <c r="C122" s="53" t="n">
        <f aca="false">C118</f>
        <v>0</v>
      </c>
      <c r="D122" s="53" t="n">
        <f aca="false">D118</f>
        <v>0</v>
      </c>
      <c r="E122" s="52"/>
      <c r="F122" s="54" t="str">
        <f aca="false">IF($C$120=0,"",C122/$C$120)</f>
        <v/>
      </c>
    </row>
    <row r="123" customFormat="false" ht="15" hidden="false" customHeight="false" outlineLevel="0" collapsed="false">
      <c r="A123" s="33" t="s">
        <v>154</v>
      </c>
      <c r="B123" s="33"/>
      <c r="C123" s="50" t="n">
        <f aca="false">C121+C122</f>
        <v>0</v>
      </c>
      <c r="D123" s="50" t="n">
        <f aca="false">D121+D122</f>
        <v>0</v>
      </c>
      <c r="E123" s="33"/>
      <c r="F123" s="51" t="str">
        <f aca="false">IF($C$120=0,"",C123/$C$120)</f>
        <v/>
      </c>
    </row>
    <row r="124" customFormat="false" ht="15" hidden="false" customHeight="false" outlineLevel="0" collapsed="false">
      <c r="A124" s="19" t="s">
        <v>155</v>
      </c>
      <c r="B124" s="19"/>
      <c r="C124" s="20" t="n">
        <f aca="false">C120-C123</f>
        <v>0</v>
      </c>
      <c r="D124" s="20" t="n">
        <f aca="false">D120-D123</f>
        <v>0</v>
      </c>
      <c r="E124" s="19"/>
      <c r="F124" s="55" t="str">
        <f aca="false">IF($C$120=0,"",C124/$C$120)</f>
        <v/>
      </c>
    </row>
    <row r="125" customFormat="false" ht="15" hidden="false" customHeight="false" outlineLevel="0" collapsed="false">
      <c r="A125" s="24" t="s">
        <v>156</v>
      </c>
      <c r="B125" s="24"/>
      <c r="C125" s="23" t="str">
        <f aca="false">IF(C120=0,"–",C121/C120)</f>
        <v>–</v>
      </c>
      <c r="D125" s="23" t="str">
        <f aca="false">IF(D120=0,"–",D121/D120)</f>
        <v>–</v>
      </c>
      <c r="E125" s="24"/>
      <c r="F125" s="24"/>
    </row>
    <row r="126" customFormat="false" ht="15" hidden="false" customHeight="false" outlineLevel="0" collapsed="false">
      <c r="A126" s="36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7" t="str">
        <f aca="false">" 💰 HAVI KÖLTSÉGVETÉS — "&amp;UPPER("Szeptember")&amp;" "&amp;'📊 Éves Összesítő'!$B$2</f>
        <v> 💰 HAVI KÖLTSÉGVETÉS — SZEPTEMBER 2026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37" t="s">
        <v>56</v>
      </c>
      <c r="B2" s="38" t="s">
        <v>57</v>
      </c>
      <c r="C2" s="38" t="s">
        <v>58</v>
      </c>
      <c r="D2" s="38" t="s">
        <v>59</v>
      </c>
      <c r="E2" s="38" t="s">
        <v>60</v>
      </c>
      <c r="F2" s="38" t="s">
        <v>33</v>
      </c>
    </row>
    <row r="3" customFormat="false" ht="18" hidden="false" customHeight="true" outlineLevel="0" collapsed="false">
      <c r="A3" s="26" t="s">
        <v>61</v>
      </c>
      <c r="B3" s="26"/>
      <c r="C3" s="26"/>
      <c r="D3" s="26"/>
      <c r="E3" s="26"/>
      <c r="F3" s="26"/>
    </row>
    <row r="4" customFormat="false" ht="15" hidden="false" customHeight="false" outlineLevel="0" collapsed="false">
      <c r="A4" s="39" t="s">
        <v>62</v>
      </c>
      <c r="B4" s="40"/>
      <c r="C4" s="40"/>
      <c r="D4" s="40"/>
      <c r="E4" s="40"/>
      <c r="F4" s="40"/>
    </row>
    <row r="5" customFormat="false" ht="15" hidden="false" customHeight="false" outlineLevel="0" collapsed="false">
      <c r="A5" s="41" t="str">
        <f aca="false">IF(Augusztus!A5="","",Augusztus!A5)</f>
        <v>Munkabér 1 (pl. saját)</v>
      </c>
      <c r="B5" s="42"/>
      <c r="C5" s="25"/>
      <c r="D5" s="42"/>
      <c r="E5" s="25" t="str">
        <f aca="false">IF(D5=0,"",B5-D5)</f>
        <v/>
      </c>
      <c r="F5" s="30" t="str">
        <f aca="false">IF(OR($C$16=0,B5=""),"",B5/$C$16)</f>
        <v/>
      </c>
    </row>
    <row r="6" customFormat="false" ht="15" hidden="false" customHeight="false" outlineLevel="0" collapsed="false">
      <c r="A6" s="41" t="str">
        <f aca="false">IF(Augusztus!A6="","",Augusztus!A6)</f>
        <v>Munkabér 2 (pl. partner)</v>
      </c>
      <c r="B6" s="42"/>
      <c r="C6" s="25"/>
      <c r="D6" s="42"/>
      <c r="E6" s="25" t="str">
        <f aca="false">IF(D6=0,"",B6-D6)</f>
        <v/>
      </c>
      <c r="F6" s="30" t="str">
        <f aca="false">IF(OR($C$16=0,B6=""),"",B6/$C$16)</f>
        <v/>
      </c>
    </row>
    <row r="7" customFormat="false" ht="15" hidden="false" customHeight="false" outlineLevel="0" collapsed="false">
      <c r="A7" s="41" t="str">
        <f aca="false">IF(Augusztus!A7="","",Augusztus!A7)</f>
        <v>Vállalkozói bevétel</v>
      </c>
      <c r="B7" s="42"/>
      <c r="C7" s="25"/>
      <c r="D7" s="42"/>
      <c r="E7" s="25" t="str">
        <f aca="false">IF(D7=0,"",B7-D7)</f>
        <v/>
      </c>
      <c r="F7" s="30" t="str">
        <f aca="false">IF(OR($C$16=0,B7=""),"",B7/$C$16)</f>
        <v/>
      </c>
    </row>
    <row r="8" customFormat="false" ht="15" hidden="false" customHeight="false" outlineLevel="0" collapsed="false">
      <c r="A8" s="41" t="str">
        <f aca="false">IF(Augusztus!A8="","",Augusztus!A8)</f>
        <v/>
      </c>
      <c r="B8" s="42"/>
      <c r="C8" s="25"/>
      <c r="D8" s="42"/>
      <c r="E8" s="25" t="str">
        <f aca="false">IF(D8=0,"",B8-D8)</f>
        <v/>
      </c>
      <c r="F8" s="30" t="str">
        <f aca="false">IF(OR($C$16=0,B8=""),"",B8/$C$16)</f>
        <v/>
      </c>
    </row>
    <row r="9" customFormat="false" ht="15" hidden="false" customHeight="false" outlineLevel="0" collapsed="false">
      <c r="A9" s="43" t="s">
        <v>66</v>
      </c>
      <c r="B9" s="35"/>
      <c r="C9" s="44" t="n">
        <f aca="false">SUM(B5:B8)</f>
        <v>0</v>
      </c>
      <c r="D9" s="44" t="n">
        <f aca="false">SUM(D5:D8)</f>
        <v>0</v>
      </c>
      <c r="E9" s="44" t="str">
        <f aca="false">IF(D9=0,"",C9-D9)</f>
        <v/>
      </c>
      <c r="F9" s="45" t="str">
        <f aca="false">IF(OR($C$16=0,C9=""),"",C9/$C$16)</f>
        <v/>
      </c>
    </row>
    <row r="10" customFormat="false" ht="15" hidden="false" customHeight="false" outlineLevel="0" collapsed="false">
      <c r="A10" s="39" t="s">
        <v>67</v>
      </c>
      <c r="B10" s="40"/>
      <c r="C10" s="40"/>
      <c r="D10" s="40"/>
      <c r="E10" s="40"/>
      <c r="F10" s="40"/>
    </row>
    <row r="11" customFormat="false" ht="15" hidden="false" customHeight="false" outlineLevel="0" collapsed="false">
      <c r="A11" s="41" t="str">
        <f aca="false">IF(Augusztus!A11="","",Augusztus!A11)</f>
        <v>CSED / GYED / GYES</v>
      </c>
      <c r="B11" s="42"/>
      <c r="C11" s="25"/>
      <c r="D11" s="42"/>
      <c r="E11" s="25" t="str">
        <f aca="false">IF(D11=0,"",B11-D11)</f>
        <v/>
      </c>
      <c r="F11" s="30" t="str">
        <f aca="false">IF(OR($C$16=0,B11=""),"",B11/$C$16)</f>
        <v/>
      </c>
    </row>
    <row r="12" customFormat="false" ht="15" hidden="false" customHeight="false" outlineLevel="0" collapsed="false">
      <c r="A12" s="41" t="str">
        <f aca="false">IF(Augusztus!A12="","",Augusztus!A12)</f>
        <v>Családi pótlék</v>
      </c>
      <c r="B12" s="42"/>
      <c r="C12" s="25"/>
      <c r="D12" s="42"/>
      <c r="E12" s="25" t="str">
        <f aca="false">IF(D12=0,"",B12-D12)</f>
        <v/>
      </c>
      <c r="F12" s="30" t="str">
        <f aca="false">IF(OR($C$16=0,B12=""),"",B12/$C$16)</f>
        <v/>
      </c>
    </row>
    <row r="13" customFormat="false" ht="15" hidden="false" customHeight="false" outlineLevel="0" collapsed="false">
      <c r="A13" s="41" t="str">
        <f aca="false">IF(Augusztus!A13="","",Augusztus!A13)</f>
        <v>Egyéb (lakáskiadás, bónusz stb.)</v>
      </c>
      <c r="B13" s="42"/>
      <c r="C13" s="25"/>
      <c r="D13" s="42"/>
      <c r="E13" s="25" t="str">
        <f aca="false">IF(D13=0,"",B13-D13)</f>
        <v/>
      </c>
      <c r="F13" s="30" t="str">
        <f aca="false">IF(OR($C$16=0,B13=""),"",B13/$C$16)</f>
        <v/>
      </c>
    </row>
    <row r="14" customFormat="false" ht="15" hidden="false" customHeight="false" outlineLevel="0" collapsed="false">
      <c r="A14" s="41" t="str">
        <f aca="false">IF(Augusztus!A14="","",Augusztus!A14)</f>
        <v/>
      </c>
      <c r="B14" s="42"/>
      <c r="C14" s="25"/>
      <c r="D14" s="42"/>
      <c r="E14" s="25" t="str">
        <f aca="false">IF(D14=0,"",B14-D14)</f>
        <v/>
      </c>
      <c r="F14" s="30" t="str">
        <f aca="false">IF(OR($C$16=0,B14=""),"",B14/$C$16)</f>
        <v/>
      </c>
    </row>
    <row r="15" customFormat="false" ht="15" hidden="false" customHeight="false" outlineLevel="0" collapsed="false">
      <c r="A15" s="43" t="s">
        <v>71</v>
      </c>
      <c r="B15" s="35"/>
      <c r="C15" s="44" t="n">
        <f aca="false">SUM(B11:B14)</f>
        <v>0</v>
      </c>
      <c r="D15" s="44" t="n">
        <f aca="false">SUM(D11:D14)</f>
        <v>0</v>
      </c>
      <c r="E15" s="44" t="str">
        <f aca="false">IF(D15=0,"",C15-D15)</f>
        <v/>
      </c>
      <c r="F15" s="45" t="str">
        <f aca="false">IF(OR($C$16=0,C15=""),"",C15/$C$16)</f>
        <v/>
      </c>
    </row>
    <row r="16" customFormat="false" ht="15" hidden="false" customHeight="false" outlineLevel="0" collapsed="false">
      <c r="A16" s="26" t="s">
        <v>72</v>
      </c>
      <c r="B16" s="26"/>
      <c r="C16" s="46" t="n">
        <f aca="false">C9+C15</f>
        <v>0</v>
      </c>
      <c r="D16" s="46" t="n">
        <f aca="false">D9+D15</f>
        <v>0</v>
      </c>
      <c r="E16" s="46" t="str">
        <f aca="false">IF(D16=0,"",C16-D16)</f>
        <v/>
      </c>
      <c r="F16" s="47" t="str">
        <f aca="false">IF($C$16=0,"",1)</f>
        <v/>
      </c>
    </row>
    <row r="17" customFormat="false" ht="18" hidden="false" customHeight="true" outlineLevel="0" collapsed="false">
      <c r="A17" s="31" t="s">
        <v>73</v>
      </c>
      <c r="B17" s="31"/>
      <c r="C17" s="31"/>
      <c r="D17" s="31"/>
      <c r="E17" s="31"/>
      <c r="F17" s="31"/>
    </row>
    <row r="18" customFormat="false" ht="15" hidden="false" customHeight="false" outlineLevel="0" collapsed="false">
      <c r="A18" s="41" t="str">
        <f aca="false">IF(Augusztus!A18="","",Augusztus!A18)</f>
        <v>Vésztartalék</v>
      </c>
      <c r="B18" s="42"/>
      <c r="C18" s="25"/>
      <c r="D18" s="42"/>
      <c r="E18" s="25" t="str">
        <f aca="false">IF(D18=0,"",B18-D18)</f>
        <v/>
      </c>
      <c r="F18" s="30" t="str">
        <f aca="false">IF(OR($C$28=0,B18=""),"",B18/$C$28)</f>
        <v/>
      </c>
    </row>
    <row r="19" customFormat="false" ht="15" hidden="false" customHeight="false" outlineLevel="0" collapsed="false">
      <c r="A19" s="41" t="str">
        <f aca="false">IF(Augusztus!A19="","",Augusztus!A19)</f>
        <v>Lakástakarékpénztár</v>
      </c>
      <c r="B19" s="42"/>
      <c r="C19" s="25"/>
      <c r="D19" s="42"/>
      <c r="E19" s="25" t="str">
        <f aca="false">IF(D19=0,"",B19-D19)</f>
        <v/>
      </c>
      <c r="F19" s="30" t="str">
        <f aca="false">IF(OR($C$28=0,B19=""),"",B19/$C$28)</f>
        <v/>
      </c>
    </row>
    <row r="20" customFormat="false" ht="15" hidden="false" customHeight="false" outlineLevel="0" collapsed="false">
      <c r="A20" s="41" t="str">
        <f aca="false">IF(Augusztus!A20="","",Augusztus!A20)</f>
        <v>Általános cél</v>
      </c>
      <c r="B20" s="42"/>
      <c r="C20" s="25"/>
      <c r="D20" s="42"/>
      <c r="E20" s="25" t="str">
        <f aca="false">IF(D20=0,"",B20-D20)</f>
        <v/>
      </c>
      <c r="F20" s="30" t="str">
        <f aca="false">IF(OR($C$28=0,B20=""),"",B20/$C$28)</f>
        <v/>
      </c>
    </row>
    <row r="21" customFormat="false" ht="15" hidden="false" customHeight="false" outlineLevel="0" collapsed="false">
      <c r="A21" s="41" t="str">
        <f aca="false">IF(Augusztus!A21="","",Augusztus!A21)</f>
        <v>Hosszú távú (min. 10 éves, általános célú)</v>
      </c>
      <c r="B21" s="42"/>
      <c r="C21" s="25"/>
      <c r="D21" s="42"/>
      <c r="E21" s="25" t="str">
        <f aca="false">IF(D21=0,"",B21-D21)</f>
        <v/>
      </c>
      <c r="F21" s="30" t="str">
        <f aca="false">IF(OR($C$28=0,B21=""),"",B21/$C$28)</f>
        <v/>
      </c>
    </row>
    <row r="22" customFormat="false" ht="15" hidden="false" customHeight="false" outlineLevel="0" collapsed="false">
      <c r="A22" s="41" t="str">
        <f aca="false">IF(Augusztus!A22="","",Augusztus!A22)</f>
        <v>Hosszú távú (min. 10 éves, lakás célú)</v>
      </c>
      <c r="B22" s="42"/>
      <c r="C22" s="25"/>
      <c r="D22" s="42"/>
      <c r="E22" s="25" t="str">
        <f aca="false">IF(D22=0,"",B22-D22)</f>
        <v/>
      </c>
      <c r="F22" s="30" t="str">
        <f aca="false">IF(OR($C$28=0,B22=""),"",B22/$C$28)</f>
        <v/>
      </c>
    </row>
    <row r="23" customFormat="false" ht="15" hidden="false" customHeight="false" outlineLevel="0" collapsed="false">
      <c r="A23" s="41" t="str">
        <f aca="false">IF(Augusztus!A23="","",Augusztus!A23)</f>
        <v>Hosszú távú (min. 10 éves, gyermek jövője célú)</v>
      </c>
      <c r="B23" s="42"/>
      <c r="C23" s="25"/>
      <c r="D23" s="42"/>
      <c r="E23" s="25" t="str">
        <f aca="false">IF(D23=0,"",B23-D23)</f>
        <v/>
      </c>
      <c r="F23" s="30" t="str">
        <f aca="false">IF(OR($C$28=0,B23=""),"",B23/$C$28)</f>
        <v/>
      </c>
    </row>
    <row r="24" customFormat="false" ht="15" hidden="false" customHeight="false" outlineLevel="0" collapsed="false">
      <c r="A24" s="41" t="str">
        <f aca="false">IF(Augusztus!A24="","",Augusztus!A24)</f>
        <v>Hosszú távú (min. 15 éves, nyugdíj célú)</v>
      </c>
      <c r="B24" s="42"/>
      <c r="C24" s="25"/>
      <c r="D24" s="42"/>
      <c r="E24" s="25" t="str">
        <f aca="false">IF(D24=0,"",B24-D24)</f>
        <v/>
      </c>
      <c r="F24" s="30" t="str">
        <f aca="false">IF(OR($C$28=0,B24=""),"",B24/$C$28)</f>
        <v/>
      </c>
    </row>
    <row r="25" customFormat="false" ht="15" hidden="false" customHeight="false" outlineLevel="0" collapsed="false">
      <c r="A25" s="41" t="str">
        <f aca="false">IF(Augusztus!A25="","",Augusztus!A25)</f>
        <v>Nyugdíjbiztosítás</v>
      </c>
      <c r="B25" s="42"/>
      <c r="C25" s="25"/>
      <c r="D25" s="42"/>
      <c r="E25" s="25" t="str">
        <f aca="false">IF(D25=0,"",B25-D25)</f>
        <v/>
      </c>
      <c r="F25" s="30" t="str">
        <f aca="false">IF(OR($C$28=0,B25=""),"",B25/$C$28)</f>
        <v/>
      </c>
    </row>
    <row r="26" customFormat="false" ht="15" hidden="false" customHeight="false" outlineLevel="0" collapsed="false">
      <c r="A26" s="41" t="str">
        <f aca="false">IF(Augusztus!A26="","",Augusztus!A26)</f>
        <v/>
      </c>
      <c r="B26" s="42"/>
      <c r="C26" s="25"/>
      <c r="D26" s="42"/>
      <c r="E26" s="25" t="str">
        <f aca="false">IF(D26=0,"",B26-D26)</f>
        <v/>
      </c>
      <c r="F26" s="30" t="str">
        <f aca="false">IF(OR($C$28=0,B26=""),"",B26/$C$28)</f>
        <v/>
      </c>
    </row>
    <row r="27" customFormat="false" ht="15" hidden="false" customHeight="false" outlineLevel="0" collapsed="false">
      <c r="A27" s="41" t="str">
        <f aca="false">IF(Augusztus!A27="","",Augusztus!A27)</f>
        <v/>
      </c>
      <c r="B27" s="42"/>
      <c r="C27" s="25"/>
      <c r="D27" s="42"/>
      <c r="E27" s="25" t="str">
        <f aca="false">IF(D27=0,"",B27-D27)</f>
        <v/>
      </c>
      <c r="F27" s="30" t="str">
        <f aca="false">IF(OR($C$28=0,B27=""),"",B27/$C$28)</f>
        <v/>
      </c>
    </row>
    <row r="28" customFormat="false" ht="15" hidden="false" customHeight="false" outlineLevel="0" collapsed="false">
      <c r="A28" s="31" t="s">
        <v>82</v>
      </c>
      <c r="B28" s="31"/>
      <c r="C28" s="48" t="n">
        <f aca="false">SUM(B18:B27)</f>
        <v>0</v>
      </c>
      <c r="D28" s="48" t="n">
        <f aca="false">SUM(D18:D27)</f>
        <v>0</v>
      </c>
      <c r="E28" s="48" t="str">
        <f aca="false">IF(D28=0,"",C28-D28)</f>
        <v/>
      </c>
      <c r="F28" s="49" t="str">
        <f aca="false">IF($C$16=0,"",C28/$C$16)</f>
        <v/>
      </c>
    </row>
    <row r="29" customFormat="false" ht="18" hidden="false" customHeight="true" outlineLevel="0" collapsed="false">
      <c r="A29" s="33" t="s">
        <v>83</v>
      </c>
      <c r="B29" s="33"/>
      <c r="C29" s="33"/>
      <c r="D29" s="33"/>
      <c r="E29" s="33"/>
      <c r="F29" s="33"/>
    </row>
    <row r="30" customFormat="false" ht="15" hidden="false" customHeight="false" outlineLevel="0" collapsed="false">
      <c r="A30" s="39" t="s">
        <v>43</v>
      </c>
      <c r="B30" s="40"/>
      <c r="C30" s="40"/>
      <c r="D30" s="40"/>
      <c r="E30" s="40"/>
      <c r="F30" s="40"/>
    </row>
    <row r="31" customFormat="false" ht="15" hidden="false" customHeight="false" outlineLevel="0" collapsed="false">
      <c r="A31" s="41" t="str">
        <f aca="false">IF(Augusztus!A31="","",Augusztus!A31)</f>
        <v>Albérleti díj / lakáshitel</v>
      </c>
      <c r="B31" s="42"/>
      <c r="C31" s="25"/>
      <c r="D31" s="42"/>
      <c r="E31" s="25" t="str">
        <f aca="false">IF(D31=0,"",D31-B31)</f>
        <v/>
      </c>
      <c r="F31" s="30" t="str">
        <f aca="false">IF(OR($C$118=0,B31=""),"",B31/$C$118)</f>
        <v/>
      </c>
    </row>
    <row r="32" customFormat="false" ht="15" hidden="false" customHeight="false" outlineLevel="0" collapsed="false">
      <c r="A32" s="41" t="str">
        <f aca="false">IF(Augusztus!A32="","",Augusztus!A32)</f>
        <v>Rezsi (közművek, közös költség)</v>
      </c>
      <c r="B32" s="42"/>
      <c r="C32" s="25"/>
      <c r="D32" s="42"/>
      <c r="E32" s="25" t="str">
        <f aca="false">IF(D32=0,"",D32-B32)</f>
        <v/>
      </c>
      <c r="F32" s="30" t="str">
        <f aca="false">IF(OR($C$118=0,B32=""),"",B32/$C$118)</f>
        <v/>
      </c>
    </row>
    <row r="33" customFormat="false" ht="15" hidden="false" customHeight="false" outlineLevel="0" collapsed="false">
      <c r="A33" s="41" t="str">
        <f aca="false">IF(Augusztus!A33="","",Augusztus!A33)</f>
        <v>Telefon, internet, digitális előfizetések</v>
      </c>
      <c r="B33" s="42"/>
      <c r="C33" s="25"/>
      <c r="D33" s="42"/>
      <c r="E33" s="25" t="str">
        <f aca="false">IF(D33=0,"",D33-B33)</f>
        <v/>
      </c>
      <c r="F33" s="30" t="str">
        <f aca="false">IF(OR($C$118=0,B33=""),"",B33/$C$118)</f>
        <v/>
      </c>
    </row>
    <row r="34" customFormat="false" ht="15" hidden="false" customHeight="false" outlineLevel="0" collapsed="false">
      <c r="A34" s="41" t="str">
        <f aca="false">IF(Augusztus!A34="","",Augusztus!A34)</f>
        <v/>
      </c>
      <c r="B34" s="42"/>
      <c r="C34" s="25"/>
      <c r="D34" s="42"/>
      <c r="E34" s="25" t="str">
        <f aca="false">IF(D34=0,"",D34-B34)</f>
        <v/>
      </c>
      <c r="F34" s="30" t="str">
        <f aca="false">IF(OR($C$118=0,B34=""),"",B34/$C$118)</f>
        <v/>
      </c>
    </row>
    <row r="35" customFormat="false" ht="15" hidden="false" customHeight="false" outlineLevel="0" collapsed="false">
      <c r="A35" s="43" t="s">
        <v>87</v>
      </c>
      <c r="B35" s="35"/>
      <c r="C35" s="44" t="n">
        <f aca="false">SUM(B31:B34)</f>
        <v>0</v>
      </c>
      <c r="D35" s="44" t="n">
        <f aca="false">SUM(D31:D34)</f>
        <v>0</v>
      </c>
      <c r="E35" s="44" t="str">
        <f aca="false">IF(D35=0,"",D35-C35)</f>
        <v/>
      </c>
      <c r="F35" s="45" t="str">
        <f aca="false">IF(OR($C$118=0,C35=""),"",C35/$C$118)</f>
        <v/>
      </c>
    </row>
    <row r="36" customFormat="false" ht="15" hidden="false" customHeight="false" outlineLevel="0" collapsed="false">
      <c r="A36" s="39" t="s">
        <v>44</v>
      </c>
      <c r="B36" s="40"/>
      <c r="C36" s="40"/>
      <c r="D36" s="40"/>
      <c r="E36" s="40"/>
      <c r="F36" s="40"/>
    </row>
    <row r="37" customFormat="false" ht="15" hidden="false" customHeight="false" outlineLevel="0" collapsed="false">
      <c r="A37" s="41" t="str">
        <f aca="false">IF(Augusztus!A37="","",Augusztus!A37)</f>
        <v>Nagybevásárlások</v>
      </c>
      <c r="B37" s="42"/>
      <c r="C37" s="25"/>
      <c r="D37" s="42"/>
      <c r="E37" s="25" t="str">
        <f aca="false">IF(D37=0,"",D37-B37)</f>
        <v/>
      </c>
      <c r="F37" s="30" t="str">
        <f aca="false">IF(OR($C$118=0,B37=""),"",B37/$C$118)</f>
        <v/>
      </c>
    </row>
    <row r="38" customFormat="false" ht="15" hidden="false" customHeight="false" outlineLevel="0" collapsed="false">
      <c r="A38" s="41" t="str">
        <f aca="false">IF(Augusztus!A38="","",Augusztus!A38)</f>
        <v>Drogéria</v>
      </c>
      <c r="B38" s="42"/>
      <c r="C38" s="25"/>
      <c r="D38" s="42"/>
      <c r="E38" s="25" t="str">
        <f aca="false">IF(D38=0,"",D38-B38)</f>
        <v/>
      </c>
      <c r="F38" s="30" t="str">
        <f aca="false">IF(OR($C$118=0,B38=""),"",B38/$C$118)</f>
        <v/>
      </c>
    </row>
    <row r="39" customFormat="false" ht="15" hidden="false" customHeight="false" outlineLevel="0" collapsed="false">
      <c r="A39" s="41" t="str">
        <f aca="false">IF(Augusztus!A39="","",Augusztus!A39)</f>
        <v>Ételrendelés</v>
      </c>
      <c r="B39" s="42"/>
      <c r="C39" s="25"/>
      <c r="D39" s="42"/>
      <c r="E39" s="25" t="str">
        <f aca="false">IF(D39=0,"",D39-B39)</f>
        <v/>
      </c>
      <c r="F39" s="30" t="str">
        <f aca="false">IF(OR($C$118=0,B39=""),"",B39/$C$118)</f>
        <v/>
      </c>
    </row>
    <row r="40" customFormat="false" ht="15" hidden="false" customHeight="false" outlineLevel="0" collapsed="false">
      <c r="A40" s="41" t="str">
        <f aca="false">IF(Augusztus!A40="","",Augusztus!A40)</f>
        <v>Egyéb élelmiszer, bevásárlás</v>
      </c>
      <c r="B40" s="42"/>
      <c r="C40" s="25"/>
      <c r="D40" s="42"/>
      <c r="E40" s="25" t="str">
        <f aca="false">IF(D40=0,"",D40-B40)</f>
        <v/>
      </c>
      <c r="F40" s="30" t="str">
        <f aca="false">IF(OR($C$118=0,B40=""),"",B40/$C$118)</f>
        <v/>
      </c>
    </row>
    <row r="41" customFormat="false" ht="15" hidden="false" customHeight="false" outlineLevel="0" collapsed="false">
      <c r="A41" s="41" t="str">
        <f aca="false">IF(Augusztus!A41="","",Augusztus!A41)</f>
        <v/>
      </c>
      <c r="B41" s="42"/>
      <c r="C41" s="25"/>
      <c r="D41" s="42"/>
      <c r="E41" s="25" t="str">
        <f aca="false">IF(D41=0,"",D41-B41)</f>
        <v/>
      </c>
      <c r="F41" s="30" t="str">
        <f aca="false">IF(OR($C$118=0,B41=""),"",B41/$C$118)</f>
        <v/>
      </c>
    </row>
    <row r="42" customFormat="false" ht="15" hidden="false" customHeight="false" outlineLevel="0" collapsed="false">
      <c r="A42" s="43" t="s">
        <v>92</v>
      </c>
      <c r="B42" s="35"/>
      <c r="C42" s="44" t="n">
        <f aca="false">SUM(B37:B41)</f>
        <v>0</v>
      </c>
      <c r="D42" s="44" t="n">
        <f aca="false">SUM(D37:D41)</f>
        <v>0</v>
      </c>
      <c r="E42" s="44" t="str">
        <f aca="false">IF(D42=0,"",D42-C42)</f>
        <v/>
      </c>
      <c r="F42" s="45" t="str">
        <f aca="false">IF(OR($C$118=0,C42=""),"",C42/$C$118)</f>
        <v/>
      </c>
    </row>
    <row r="43" customFormat="false" ht="15" hidden="false" customHeight="false" outlineLevel="0" collapsed="false">
      <c r="A43" s="39" t="s">
        <v>45</v>
      </c>
      <c r="B43" s="40"/>
      <c r="C43" s="40"/>
      <c r="D43" s="40"/>
      <c r="E43" s="40"/>
      <c r="F43" s="40"/>
    </row>
    <row r="44" customFormat="false" ht="15" hidden="false" customHeight="false" outlineLevel="0" collapsed="false">
      <c r="A44" s="41" t="str">
        <f aca="false">IF(Augusztus!A44="","",Augusztus!A44)</f>
        <v>Lakásbiztosítás</v>
      </c>
      <c r="B44" s="42"/>
      <c r="C44" s="25"/>
      <c r="D44" s="42"/>
      <c r="E44" s="25" t="str">
        <f aca="false">IF(D44=0,"",D44-B44)</f>
        <v/>
      </c>
      <c r="F44" s="30" t="str">
        <f aca="false">IF(OR($C$118=0,B44=""),"",B44/$C$118)</f>
        <v/>
      </c>
    </row>
    <row r="45" customFormat="false" ht="15" hidden="false" customHeight="false" outlineLevel="0" collapsed="false">
      <c r="A45" s="41" t="str">
        <f aca="false">IF(Augusztus!A45="","",Augusztus!A45)</f>
        <v>Életbiztosítás</v>
      </c>
      <c r="B45" s="42"/>
      <c r="C45" s="25"/>
      <c r="D45" s="42"/>
      <c r="E45" s="25" t="str">
        <f aca="false">IF(D45=0,"",D45-B45)</f>
        <v/>
      </c>
      <c r="F45" s="30" t="str">
        <f aca="false">IF(OR($C$118=0,B45=""),"",B45/$C$118)</f>
        <v/>
      </c>
    </row>
    <row r="46" customFormat="false" ht="15" hidden="false" customHeight="false" outlineLevel="0" collapsed="false">
      <c r="A46" s="41" t="str">
        <f aca="false">IF(Augusztus!A46="","",Augusztus!A46)</f>
        <v>Baleset- és betegségbiztosítás</v>
      </c>
      <c r="B46" s="42"/>
      <c r="C46" s="25"/>
      <c r="D46" s="42"/>
      <c r="E46" s="25" t="str">
        <f aca="false">IF(D46=0,"",D46-B46)</f>
        <v/>
      </c>
      <c r="F46" s="30" t="str">
        <f aca="false">IF(OR($C$118=0,B46=""),"",B46/$C$118)</f>
        <v/>
      </c>
    </row>
    <row r="47" customFormat="false" ht="15" hidden="false" customHeight="false" outlineLevel="0" collapsed="false">
      <c r="A47" s="41" t="str">
        <f aca="false">IF(Augusztus!A47="","",Augusztus!A47)</f>
        <v>Egészségbiztosítás</v>
      </c>
      <c r="B47" s="42"/>
      <c r="C47" s="25"/>
      <c r="D47" s="42"/>
      <c r="E47" s="25" t="str">
        <f aca="false">IF(D47=0,"",D47-B47)</f>
        <v/>
      </c>
      <c r="F47" s="30" t="str">
        <f aca="false">IF(OR($C$118=0,B47=""),"",B47/$C$118)</f>
        <v/>
      </c>
    </row>
    <row r="48" customFormat="false" ht="15" hidden="false" customHeight="false" outlineLevel="0" collapsed="false">
      <c r="A48" s="41" t="str">
        <f aca="false">IF(Augusztus!A48="","",Augusztus!A48)</f>
        <v>Hiteltörlesztés</v>
      </c>
      <c r="B48" s="42"/>
      <c r="C48" s="25"/>
      <c r="D48" s="42"/>
      <c r="E48" s="25" t="str">
        <f aca="false">IF(D48=0,"",D48-B48)</f>
        <v/>
      </c>
      <c r="F48" s="30" t="str">
        <f aca="false">IF(OR($C$118=0,B48=""),"",B48/$C$118)</f>
        <v/>
      </c>
    </row>
    <row r="49" customFormat="false" ht="15" hidden="false" customHeight="false" outlineLevel="0" collapsed="false">
      <c r="A49" s="41" t="str">
        <f aca="false">IF(Augusztus!A49="","",Augusztus!A49)</f>
        <v>Egyéb szerződés</v>
      </c>
      <c r="B49" s="42"/>
      <c r="C49" s="25"/>
      <c r="D49" s="42"/>
      <c r="E49" s="25" t="str">
        <f aca="false">IF(D49=0,"",D49-B49)</f>
        <v/>
      </c>
      <c r="F49" s="30" t="str">
        <f aca="false">IF(OR($C$118=0,B49=""),"",B49/$C$118)</f>
        <v/>
      </c>
    </row>
    <row r="50" customFormat="false" ht="15" hidden="false" customHeight="false" outlineLevel="0" collapsed="false">
      <c r="A50" s="41" t="str">
        <f aca="false">IF(Augusztus!A50="","",Augusztus!A50)</f>
        <v/>
      </c>
      <c r="B50" s="42"/>
      <c r="C50" s="25"/>
      <c r="D50" s="42"/>
      <c r="E50" s="25" t="str">
        <f aca="false">IF(D50=0,"",D50-B50)</f>
        <v/>
      </c>
      <c r="F50" s="30" t="str">
        <f aca="false">IF(OR($C$118=0,B50=""),"",B50/$C$118)</f>
        <v/>
      </c>
    </row>
    <row r="51" customFormat="false" ht="15" hidden="false" customHeight="false" outlineLevel="0" collapsed="false">
      <c r="A51" s="41" t="str">
        <f aca="false">IF(Augusztus!A51="","",Augusztus!A51)</f>
        <v/>
      </c>
      <c r="B51" s="42"/>
      <c r="C51" s="25"/>
      <c r="D51" s="42"/>
      <c r="E51" s="25" t="str">
        <f aca="false">IF(D51=0,"",D51-B51)</f>
        <v/>
      </c>
      <c r="F51" s="30" t="str">
        <f aca="false">IF(OR($C$118=0,B51=""),"",B51/$C$118)</f>
        <v/>
      </c>
    </row>
    <row r="52" customFormat="false" ht="15" hidden="false" customHeight="false" outlineLevel="0" collapsed="false">
      <c r="A52" s="43" t="s">
        <v>99</v>
      </c>
      <c r="B52" s="35"/>
      <c r="C52" s="44" t="n">
        <f aca="false">SUM(B44:B51)</f>
        <v>0</v>
      </c>
      <c r="D52" s="44" t="n">
        <f aca="false">SUM(D44:D51)</f>
        <v>0</v>
      </c>
      <c r="E52" s="44" t="str">
        <f aca="false">IF(D52=0,"",D52-C52)</f>
        <v/>
      </c>
      <c r="F52" s="45" t="str">
        <f aca="false">IF(OR($C$118=0,C52=""),"",C52/$C$118)</f>
        <v/>
      </c>
    </row>
    <row r="53" customFormat="false" ht="15" hidden="false" customHeight="false" outlineLevel="0" collapsed="false">
      <c r="A53" s="39" t="s">
        <v>46</v>
      </c>
      <c r="B53" s="40"/>
      <c r="C53" s="40"/>
      <c r="D53" s="40"/>
      <c r="E53" s="40"/>
      <c r="F53" s="40"/>
    </row>
    <row r="54" customFormat="false" ht="15" hidden="false" customHeight="false" outlineLevel="0" collapsed="false">
      <c r="A54" s="41" t="str">
        <f aca="false">IF(Augusztus!A54="","",Augusztus!A54)</f>
        <v>Üzemanyag, elektromos töltés</v>
      </c>
      <c r="B54" s="42"/>
      <c r="C54" s="25"/>
      <c r="D54" s="42"/>
      <c r="E54" s="25" t="str">
        <f aca="false">IF(D54=0,"",D54-B54)</f>
        <v/>
      </c>
      <c r="F54" s="30" t="str">
        <f aca="false">IF(OR($C$118=0,B54=""),"",B54/$C$118)</f>
        <v/>
      </c>
    </row>
    <row r="55" customFormat="false" ht="15" hidden="false" customHeight="false" outlineLevel="0" collapsed="false">
      <c r="A55" s="41" t="str">
        <f aca="false">IF(Augusztus!A55="","",Augusztus!A55)</f>
        <v>Parkolás, útdíj, autópálya-matrica</v>
      </c>
      <c r="B55" s="42"/>
      <c r="C55" s="25"/>
      <c r="D55" s="42"/>
      <c r="E55" s="25" t="str">
        <f aca="false">IF(D55=0,"",D55-B55)</f>
        <v/>
      </c>
      <c r="F55" s="30" t="str">
        <f aca="false">IF(OR($C$118=0,B55=""),"",B55/$C$118)</f>
        <v/>
      </c>
    </row>
    <row r="56" customFormat="false" ht="15" hidden="false" customHeight="false" outlineLevel="0" collapsed="false">
      <c r="A56" s="41" t="str">
        <f aca="false">IF(Augusztus!A56="","",Augusztus!A56)</f>
        <v>Szerviz, karbantartás, gumicsere</v>
      </c>
      <c r="B56" s="42"/>
      <c r="C56" s="25"/>
      <c r="D56" s="42"/>
      <c r="E56" s="25" t="str">
        <f aca="false">IF(D56=0,"",D56-B56)</f>
        <v/>
      </c>
      <c r="F56" s="30" t="str">
        <f aca="false">IF(OR($C$118=0,B56=""),"",B56/$C$118)</f>
        <v/>
      </c>
    </row>
    <row r="57" customFormat="false" ht="15" hidden="false" customHeight="false" outlineLevel="0" collapsed="false">
      <c r="A57" s="41" t="str">
        <f aca="false">IF(Augusztus!A57="","",Augusztus!A57)</f>
        <v>KGFB (kötelező biztosítás)</v>
      </c>
      <c r="B57" s="42"/>
      <c r="C57" s="25"/>
      <c r="D57" s="42"/>
      <c r="E57" s="25" t="str">
        <f aca="false">IF(D57=0,"",D57-B57)</f>
        <v/>
      </c>
      <c r="F57" s="30" t="str">
        <f aca="false">IF(OR($C$118=0,B57=""),"",B57/$C$118)</f>
        <v/>
      </c>
    </row>
    <row r="58" customFormat="false" ht="15" hidden="false" customHeight="false" outlineLevel="0" collapsed="false">
      <c r="A58" s="41" t="str">
        <f aca="false">IF(Augusztus!A58="","",Augusztus!A58)</f>
        <v>CASCO</v>
      </c>
      <c r="B58" s="42"/>
      <c r="C58" s="25"/>
      <c r="D58" s="42"/>
      <c r="E58" s="25" t="str">
        <f aca="false">IF(D58=0,"",D58-B58)</f>
        <v/>
      </c>
      <c r="F58" s="30" t="str">
        <f aca="false">IF(OR($C$118=0,B58=""),"",B58/$C$118)</f>
        <v/>
      </c>
    </row>
    <row r="59" customFormat="false" ht="15" hidden="false" customHeight="false" outlineLevel="0" collapsed="false">
      <c r="A59" s="41" t="str">
        <f aca="false">IF(Augusztus!A59="","",Augusztus!A59)</f>
        <v>Gépjárműadó</v>
      </c>
      <c r="B59" s="42"/>
      <c r="C59" s="25"/>
      <c r="D59" s="42"/>
      <c r="E59" s="25" t="str">
        <f aca="false">IF(D59=0,"",D59-B59)</f>
        <v/>
      </c>
      <c r="F59" s="30" t="str">
        <f aca="false">IF(OR($C$118=0,B59=""),"",B59/$C$118)</f>
        <v/>
      </c>
    </row>
    <row r="60" customFormat="false" ht="15" hidden="false" customHeight="false" outlineLevel="0" collapsed="false">
      <c r="A60" s="41" t="str">
        <f aca="false">IF(Augusztus!A60="","",Augusztus!A60)</f>
        <v>Autóhitel, lízing részlet</v>
      </c>
      <c r="B60" s="42"/>
      <c r="C60" s="25"/>
      <c r="D60" s="42"/>
      <c r="E60" s="25" t="str">
        <f aca="false">IF(D60=0,"",D60-B60)</f>
        <v/>
      </c>
      <c r="F60" s="30" t="str">
        <f aca="false">IF(OR($C$118=0,B60=""),"",B60/$C$118)</f>
        <v/>
      </c>
    </row>
    <row r="61" customFormat="false" ht="15" hidden="false" customHeight="false" outlineLevel="0" collapsed="false">
      <c r="A61" s="41" t="str">
        <f aca="false">IF(Augusztus!A61="","",Augusztus!A61)</f>
        <v>Autómosás, egyéb autós költség</v>
      </c>
      <c r="B61" s="42"/>
      <c r="C61" s="25"/>
      <c r="D61" s="42"/>
      <c r="E61" s="25" t="str">
        <f aca="false">IF(D61=0,"",D61-B61)</f>
        <v/>
      </c>
      <c r="F61" s="30" t="str">
        <f aca="false">IF(OR($C$118=0,B61=""),"",B61/$C$118)</f>
        <v/>
      </c>
    </row>
    <row r="62" customFormat="false" ht="15" hidden="false" customHeight="false" outlineLevel="0" collapsed="false">
      <c r="A62" s="41" t="str">
        <f aca="false">IF(Augusztus!A62="","",Augusztus!A62)</f>
        <v>Tömegközlekedés, bérlet</v>
      </c>
      <c r="B62" s="42"/>
      <c r="C62" s="25"/>
      <c r="D62" s="42"/>
      <c r="E62" s="25" t="str">
        <f aca="false">IF(D62=0,"",D62-B62)</f>
        <v/>
      </c>
      <c r="F62" s="30" t="str">
        <f aca="false">IF(OR($C$118=0,B62=""),"",B62/$C$118)</f>
        <v/>
      </c>
    </row>
    <row r="63" customFormat="false" ht="15" hidden="false" customHeight="false" outlineLevel="0" collapsed="false">
      <c r="A63" s="41" t="str">
        <f aca="false">IF(Augusztus!A63="","",Augusztus!A63)</f>
        <v>Taxi, roller, bicikli, közösségi közlekedés</v>
      </c>
      <c r="B63" s="42"/>
      <c r="C63" s="25"/>
      <c r="D63" s="42"/>
      <c r="E63" s="25" t="str">
        <f aca="false">IF(D63=0,"",D63-B63)</f>
        <v/>
      </c>
      <c r="F63" s="30" t="str">
        <f aca="false">IF(OR($C$118=0,B63=""),"",B63/$C$118)</f>
        <v/>
      </c>
    </row>
    <row r="64" customFormat="false" ht="15" hidden="false" customHeight="false" outlineLevel="0" collapsed="false">
      <c r="A64" s="41" t="str">
        <f aca="false">IF(Augusztus!A64="","",Augusztus!A64)</f>
        <v/>
      </c>
      <c r="B64" s="42"/>
      <c r="C64" s="25"/>
      <c r="D64" s="42"/>
      <c r="E64" s="25" t="str">
        <f aca="false">IF(D64=0,"",D64-B64)</f>
        <v/>
      </c>
      <c r="F64" s="30" t="str">
        <f aca="false">IF(OR($C$118=0,B64=""),"",B64/$C$118)</f>
        <v/>
      </c>
    </row>
    <row r="65" customFormat="false" ht="15" hidden="false" customHeight="false" outlineLevel="0" collapsed="false">
      <c r="A65" s="41" t="str">
        <f aca="false">IF(Augusztus!A65="","",Augusztus!A65)</f>
        <v/>
      </c>
      <c r="B65" s="42"/>
      <c r="C65" s="25"/>
      <c r="D65" s="42"/>
      <c r="E65" s="25" t="str">
        <f aca="false">IF(D65=0,"",D65-B65)</f>
        <v/>
      </c>
      <c r="F65" s="30" t="str">
        <f aca="false">IF(OR($C$118=0,B65=""),"",B65/$C$118)</f>
        <v/>
      </c>
    </row>
    <row r="66" customFormat="false" ht="15" hidden="false" customHeight="false" outlineLevel="0" collapsed="false">
      <c r="A66" s="43" t="s">
        <v>110</v>
      </c>
      <c r="B66" s="35"/>
      <c r="C66" s="44" t="n">
        <f aca="false">SUM(B54:B65)</f>
        <v>0</v>
      </c>
      <c r="D66" s="44" t="n">
        <f aca="false">SUM(D54:D65)</f>
        <v>0</v>
      </c>
      <c r="E66" s="44" t="str">
        <f aca="false">IF(D66=0,"",D66-C66)</f>
        <v/>
      </c>
      <c r="F66" s="45" t="str">
        <f aca="false">IF(OR($C$118=0,C66=""),"",C66/$C$118)</f>
        <v/>
      </c>
    </row>
    <row r="67" customFormat="false" ht="15" hidden="false" customHeight="false" outlineLevel="0" collapsed="false">
      <c r="A67" s="39" t="s">
        <v>47</v>
      </c>
      <c r="B67" s="40"/>
      <c r="C67" s="40"/>
      <c r="D67" s="40"/>
      <c r="E67" s="40"/>
      <c r="F67" s="40"/>
    </row>
    <row r="68" customFormat="false" ht="15" hidden="false" customHeight="false" outlineLevel="0" collapsed="false">
      <c r="A68" s="41" t="str">
        <f aca="false">IF(Augusztus!A68="","",Augusztus!A68)</f>
        <v>Gyerek ruha, cipő</v>
      </c>
      <c r="B68" s="42"/>
      <c r="C68" s="25"/>
      <c r="D68" s="42"/>
      <c r="E68" s="25" t="str">
        <f aca="false">IF(D68=0,"",D68-B68)</f>
        <v/>
      </c>
      <c r="F68" s="30" t="str">
        <f aca="false">IF(OR($C$118=0,B68=""),"",B68/$C$118)</f>
        <v/>
      </c>
    </row>
    <row r="69" customFormat="false" ht="15" hidden="false" customHeight="false" outlineLevel="0" collapsed="false">
      <c r="A69" s="41" t="str">
        <f aca="false">IF(Augusztus!A69="","",Augusztus!A69)</f>
        <v>Gyerek étkeztetés (menza)</v>
      </c>
      <c r="B69" s="42"/>
      <c r="C69" s="25"/>
      <c r="D69" s="42"/>
      <c r="E69" s="25" t="str">
        <f aca="false">IF(D69=0,"",D69-B69)</f>
        <v/>
      </c>
      <c r="F69" s="30" t="str">
        <f aca="false">IF(OR($C$118=0,B69=""),"",B69/$C$118)</f>
        <v/>
      </c>
    </row>
    <row r="70" customFormat="false" ht="15" hidden="false" customHeight="false" outlineLevel="0" collapsed="false">
      <c r="A70" s="41" t="str">
        <f aca="false">IF(Augusztus!A70="","",Augusztus!A70)</f>
        <v>Bölcsőde, óvoda, iskola díjai</v>
      </c>
      <c r="B70" s="42"/>
      <c r="C70" s="25"/>
      <c r="D70" s="42"/>
      <c r="E70" s="25" t="str">
        <f aca="false">IF(D70=0,"",D70-B70)</f>
        <v/>
      </c>
      <c r="F70" s="30" t="str">
        <f aca="false">IF(OR($C$118=0,B70=""),"",B70/$C$118)</f>
        <v/>
      </c>
    </row>
    <row r="71" customFormat="false" ht="15" hidden="false" customHeight="false" outlineLevel="0" collapsed="false">
      <c r="A71" s="41" t="str">
        <f aca="false">IF(Augusztus!A71="","",Augusztus!A71)</f>
        <v>Tankönyv, tanszer</v>
      </c>
      <c r="B71" s="42"/>
      <c r="C71" s="25"/>
      <c r="D71" s="42"/>
      <c r="E71" s="25" t="str">
        <f aca="false">IF(D71=0,"",D71-B71)</f>
        <v/>
      </c>
      <c r="F71" s="30" t="str">
        <f aca="false">IF(OR($C$118=0,B71=""),"",B71/$C$118)</f>
        <v/>
      </c>
    </row>
    <row r="72" customFormat="false" ht="15" hidden="false" customHeight="false" outlineLevel="0" collapsed="false">
      <c r="A72" s="41" t="str">
        <f aca="false">IF(Augusztus!A72="","",Augusztus!A72)</f>
        <v>Különórák, edzések</v>
      </c>
      <c r="B72" s="42"/>
      <c r="C72" s="25"/>
      <c r="D72" s="42"/>
      <c r="E72" s="25" t="str">
        <f aca="false">IF(D72=0,"",D72-B72)</f>
        <v/>
      </c>
      <c r="F72" s="30" t="str">
        <f aca="false">IF(OR($C$118=0,B72=""),"",B72/$C$118)</f>
        <v/>
      </c>
    </row>
    <row r="73" customFormat="false" ht="15" hidden="false" customHeight="false" outlineLevel="0" collapsed="false">
      <c r="A73" s="41" t="str">
        <f aca="false">IF(Augusztus!A73="","",Augusztus!A73)</f>
        <v>Magánóra, korrepetálás</v>
      </c>
      <c r="B73" s="42"/>
      <c r="C73" s="25"/>
      <c r="D73" s="42"/>
      <c r="E73" s="25" t="str">
        <f aca="false">IF(D73=0,"",D73-B73)</f>
        <v/>
      </c>
      <c r="F73" s="30" t="str">
        <f aca="false">IF(OR($C$118=0,B73=""),"",B73/$C$118)</f>
        <v/>
      </c>
    </row>
    <row r="74" customFormat="false" ht="15" hidden="false" customHeight="false" outlineLevel="0" collapsed="false">
      <c r="A74" s="41" t="str">
        <f aca="false">IF(Augusztus!A74="","",Augusztus!A74)</f>
        <v>Zsebpénz</v>
      </c>
      <c r="B74" s="42"/>
      <c r="C74" s="25"/>
      <c r="D74" s="42"/>
      <c r="E74" s="25" t="str">
        <f aca="false">IF(D74=0,"",D74-B74)</f>
        <v/>
      </c>
      <c r="F74" s="30" t="str">
        <f aca="false">IF(OR($C$118=0,B74=""),"",B74/$C$118)</f>
        <v/>
      </c>
    </row>
    <row r="75" customFormat="false" ht="15" hidden="false" customHeight="false" outlineLevel="0" collapsed="false">
      <c r="A75" s="41" t="str">
        <f aca="false">IF(Augusztus!A75="","",Augusztus!A75)</f>
        <v>Játékok, szórakozás</v>
      </c>
      <c r="B75" s="42"/>
      <c r="C75" s="25"/>
      <c r="D75" s="42"/>
      <c r="E75" s="25" t="str">
        <f aca="false">IF(D75=0,"",D75-B75)</f>
        <v/>
      </c>
      <c r="F75" s="30" t="str">
        <f aca="false">IF(OR($C$118=0,B75=""),"",B75/$C$118)</f>
        <v/>
      </c>
    </row>
    <row r="76" customFormat="false" ht="15" hidden="false" customHeight="false" outlineLevel="0" collapsed="false">
      <c r="A76" s="41" t="str">
        <f aca="false">IF(Augusztus!A76="","",Augusztus!A76)</f>
        <v/>
      </c>
      <c r="B76" s="42"/>
      <c r="C76" s="25"/>
      <c r="D76" s="42"/>
      <c r="E76" s="25" t="str">
        <f aca="false">IF(D76=0,"",D76-B76)</f>
        <v/>
      </c>
      <c r="F76" s="30" t="str">
        <f aca="false">IF(OR($C$118=0,B76=""),"",B76/$C$118)</f>
        <v/>
      </c>
    </row>
    <row r="77" customFormat="false" ht="15" hidden="false" customHeight="false" outlineLevel="0" collapsed="false">
      <c r="A77" s="41" t="str">
        <f aca="false">IF(Augusztus!A77="","",Augusztus!A77)</f>
        <v/>
      </c>
      <c r="B77" s="42"/>
      <c r="C77" s="25"/>
      <c r="D77" s="42"/>
      <c r="E77" s="25" t="str">
        <f aca="false">IF(D77=0,"",D77-B77)</f>
        <v/>
      </c>
      <c r="F77" s="30" t="str">
        <f aca="false">IF(OR($C$118=0,B77=""),"",B77/$C$118)</f>
        <v/>
      </c>
    </row>
    <row r="78" customFormat="false" ht="15" hidden="false" customHeight="false" outlineLevel="0" collapsed="false">
      <c r="A78" s="41" t="str">
        <f aca="false">IF(Augusztus!A78="","",Augusztus!A78)</f>
        <v/>
      </c>
      <c r="B78" s="42"/>
      <c r="C78" s="25"/>
      <c r="D78" s="42"/>
      <c r="E78" s="25" t="str">
        <f aca="false">IF(D78=0,"",D78-B78)</f>
        <v/>
      </c>
      <c r="F78" s="30" t="str">
        <f aca="false">IF(OR($C$118=0,B78=""),"",B78/$C$118)</f>
        <v/>
      </c>
    </row>
    <row r="79" customFormat="false" ht="15" hidden="false" customHeight="false" outlineLevel="0" collapsed="false">
      <c r="A79" s="43" t="s">
        <v>119</v>
      </c>
      <c r="B79" s="35"/>
      <c r="C79" s="44" t="n">
        <f aca="false">SUM(B68:B78)</f>
        <v>0</v>
      </c>
      <c r="D79" s="44" t="n">
        <f aca="false">SUM(D68:D78)</f>
        <v>0</v>
      </c>
      <c r="E79" s="44" t="str">
        <f aca="false">IF(D79=0,"",D79-C79)</f>
        <v/>
      </c>
      <c r="F79" s="45" t="str">
        <f aca="false">IF(OR($C$118=0,C79=""),"",C79/$C$118)</f>
        <v/>
      </c>
    </row>
    <row r="80" customFormat="false" ht="15" hidden="false" customHeight="false" outlineLevel="0" collapsed="false">
      <c r="A80" s="39" t="s">
        <v>48</v>
      </c>
      <c r="B80" s="40"/>
      <c r="C80" s="40"/>
      <c r="D80" s="40"/>
      <c r="E80" s="40"/>
      <c r="F80" s="40"/>
    </row>
    <row r="81" customFormat="false" ht="15" hidden="false" customHeight="false" outlineLevel="0" collapsed="false">
      <c r="A81" s="41" t="str">
        <f aca="false">IF(Augusztus!A81="","",Augusztus!A81)</f>
        <v>Ruha</v>
      </c>
      <c r="B81" s="42"/>
      <c r="C81" s="25"/>
      <c r="D81" s="42"/>
      <c r="E81" s="25" t="str">
        <f aca="false">IF(D81=0,"",D81-B81)</f>
        <v/>
      </c>
      <c r="F81" s="30" t="str">
        <f aca="false">IF(OR($C$118=0,B81=""),"",B81/$C$118)</f>
        <v/>
      </c>
    </row>
    <row r="82" customFormat="false" ht="15" hidden="false" customHeight="false" outlineLevel="0" collapsed="false">
      <c r="A82" s="41" t="str">
        <f aca="false">IF(Augusztus!A82="","",Augusztus!A82)</f>
        <v>Cipő</v>
      </c>
      <c r="B82" s="42"/>
      <c r="C82" s="25"/>
      <c r="D82" s="42"/>
      <c r="E82" s="25" t="str">
        <f aca="false">IF(D82=0,"",D82-B82)</f>
        <v/>
      </c>
      <c r="F82" s="30" t="str">
        <f aca="false">IF(OR($C$118=0,B82=""),"",B82/$C$118)</f>
        <v/>
      </c>
    </row>
    <row r="83" customFormat="false" ht="15" hidden="false" customHeight="false" outlineLevel="0" collapsed="false">
      <c r="A83" s="41" t="str">
        <f aca="false">IF(Augusztus!A83="","",Augusztus!A83)</f>
        <v>Kiegészítők (táska, ékszer, óra)</v>
      </c>
      <c r="B83" s="42"/>
      <c r="C83" s="25"/>
      <c r="D83" s="42"/>
      <c r="E83" s="25" t="str">
        <f aca="false">IF(D83=0,"",D83-B83)</f>
        <v/>
      </c>
      <c r="F83" s="30" t="str">
        <f aca="false">IF(OR($C$118=0,B83=""),"",B83/$C$118)</f>
        <v/>
      </c>
    </row>
    <row r="84" customFormat="false" ht="15" hidden="false" customHeight="false" outlineLevel="0" collapsed="false">
      <c r="A84" s="41" t="str">
        <f aca="false">IF(Augusztus!A84="","",Augusztus!A84)</f>
        <v/>
      </c>
      <c r="B84" s="42"/>
      <c r="C84" s="25"/>
      <c r="D84" s="42"/>
      <c r="E84" s="25" t="str">
        <f aca="false">IF(D84=0,"",D84-B84)</f>
        <v/>
      </c>
      <c r="F84" s="30" t="str">
        <f aca="false">IF(OR($C$118=0,B84=""),"",B84/$C$118)</f>
        <v/>
      </c>
    </row>
    <row r="85" customFormat="false" ht="15" hidden="false" customHeight="false" outlineLevel="0" collapsed="false">
      <c r="A85" s="43" t="s">
        <v>123</v>
      </c>
      <c r="B85" s="35"/>
      <c r="C85" s="44" t="n">
        <f aca="false">SUM(B81:B84)</f>
        <v>0</v>
      </c>
      <c r="D85" s="44" t="n">
        <f aca="false">SUM(D81:D84)</f>
        <v>0</v>
      </c>
      <c r="E85" s="44" t="str">
        <f aca="false">IF(D85=0,"",D85-C85)</f>
        <v/>
      </c>
      <c r="F85" s="45" t="str">
        <f aca="false">IF(OR($C$118=0,C85=""),"",C85/$C$118)</f>
        <v/>
      </c>
    </row>
    <row r="86" customFormat="false" ht="15" hidden="false" customHeight="false" outlineLevel="0" collapsed="false">
      <c r="A86" s="39" t="s">
        <v>49</v>
      </c>
      <c r="B86" s="40"/>
      <c r="C86" s="40"/>
      <c r="D86" s="40"/>
      <c r="E86" s="40"/>
      <c r="F86" s="40"/>
    </row>
    <row r="87" customFormat="false" ht="15" hidden="false" customHeight="false" outlineLevel="0" collapsed="false">
      <c r="A87" s="41" t="str">
        <f aca="false">IF(Augusztus!A87="","",Augusztus!A87)</f>
        <v>Fodrász, borbély</v>
      </c>
      <c r="B87" s="42"/>
      <c r="C87" s="25"/>
      <c r="D87" s="42"/>
      <c r="E87" s="25" t="str">
        <f aca="false">IF(D87=0,"",D87-B87)</f>
        <v/>
      </c>
      <c r="F87" s="30" t="str">
        <f aca="false">IF(OR($C$118=0,B87=""),"",B87/$C$118)</f>
        <v/>
      </c>
    </row>
    <row r="88" customFormat="false" ht="15" hidden="false" customHeight="false" outlineLevel="0" collapsed="false">
      <c r="A88" s="41" t="str">
        <f aca="false">IF(Augusztus!A88="","",Augusztus!A88)</f>
        <v>Kozmetikus, manikűr, pedikűr</v>
      </c>
      <c r="B88" s="42"/>
      <c r="C88" s="25"/>
      <c r="D88" s="42"/>
      <c r="E88" s="25" t="str">
        <f aca="false">IF(D88=0,"",D88-B88)</f>
        <v/>
      </c>
      <c r="F88" s="30" t="str">
        <f aca="false">IF(OR($C$118=0,B88=""),"",B88/$C$118)</f>
        <v/>
      </c>
    </row>
    <row r="89" customFormat="false" ht="15" hidden="false" customHeight="false" outlineLevel="0" collapsed="false">
      <c r="A89" s="41" t="str">
        <f aca="false">IF(Augusztus!A89="","",Augusztus!A89)</f>
        <v>Kozmetikumok, parfüm</v>
      </c>
      <c r="B89" s="42"/>
      <c r="C89" s="25"/>
      <c r="D89" s="42"/>
      <c r="E89" s="25" t="str">
        <f aca="false">IF(D89=0,"",D89-B89)</f>
        <v/>
      </c>
      <c r="F89" s="30" t="str">
        <f aca="false">IF(OR($C$118=0,B89=""),"",B89/$C$118)</f>
        <v/>
      </c>
    </row>
    <row r="90" customFormat="false" ht="15" hidden="false" customHeight="false" outlineLevel="0" collapsed="false">
      <c r="A90" s="41" t="str">
        <f aca="false">IF(Augusztus!A90="","",Augusztus!A90)</f>
        <v>Edzés, sport, bérlet</v>
      </c>
      <c r="B90" s="42"/>
      <c r="C90" s="25"/>
      <c r="D90" s="42"/>
      <c r="E90" s="25" t="str">
        <f aca="false">IF(D90=0,"",D90-B90)</f>
        <v/>
      </c>
      <c r="F90" s="30" t="str">
        <f aca="false">IF(OR($C$118=0,B90=""),"",B90/$C$118)</f>
        <v/>
      </c>
    </row>
    <row r="91" customFormat="false" ht="15" hidden="false" customHeight="false" outlineLevel="0" collapsed="false">
      <c r="A91" s="41" t="str">
        <f aca="false">IF(Augusztus!A91="","",Augusztus!A91)</f>
        <v>Gyógyszer, vitamin</v>
      </c>
      <c r="B91" s="42"/>
      <c r="C91" s="25"/>
      <c r="D91" s="42"/>
      <c r="E91" s="25" t="str">
        <f aca="false">IF(D91=0,"",D91-B91)</f>
        <v/>
      </c>
      <c r="F91" s="30" t="str">
        <f aca="false">IF(OR($C$118=0,B91=""),"",B91/$C$118)</f>
        <v/>
      </c>
    </row>
    <row r="92" customFormat="false" ht="15" hidden="false" customHeight="false" outlineLevel="0" collapsed="false">
      <c r="A92" s="41" t="str">
        <f aca="false">IF(Augusztus!A92="","",Augusztus!A92)</f>
        <v>Orvos, fogorvos, magánrendelés</v>
      </c>
      <c r="B92" s="42"/>
      <c r="C92" s="25"/>
      <c r="D92" s="42"/>
      <c r="E92" s="25" t="str">
        <f aca="false">IF(D92=0,"",D92-B92)</f>
        <v/>
      </c>
      <c r="F92" s="30" t="str">
        <f aca="false">IF(OR($C$118=0,B92=""),"",B92/$C$118)</f>
        <v/>
      </c>
    </row>
    <row r="93" customFormat="false" ht="15" hidden="false" customHeight="false" outlineLevel="0" collapsed="false">
      <c r="A93" s="41" t="str">
        <f aca="false">IF(Augusztus!A93="","",Augusztus!A93)</f>
        <v/>
      </c>
      <c r="B93" s="42"/>
      <c r="C93" s="25"/>
      <c r="D93" s="42"/>
      <c r="E93" s="25" t="str">
        <f aca="false">IF(D93=0,"",D93-B93)</f>
        <v/>
      </c>
      <c r="F93" s="30" t="str">
        <f aca="false">IF(OR($C$118=0,B93=""),"",B93/$C$118)</f>
        <v/>
      </c>
    </row>
    <row r="94" customFormat="false" ht="15" hidden="false" customHeight="false" outlineLevel="0" collapsed="false">
      <c r="A94" s="43" t="s">
        <v>130</v>
      </c>
      <c r="B94" s="35"/>
      <c r="C94" s="44" t="n">
        <f aca="false">SUM(B87:B93)</f>
        <v>0</v>
      </c>
      <c r="D94" s="44" t="n">
        <f aca="false">SUM(D87:D93)</f>
        <v>0</v>
      </c>
      <c r="E94" s="44" t="str">
        <f aca="false">IF(D94=0,"",D94-C94)</f>
        <v/>
      </c>
      <c r="F94" s="45" t="str">
        <f aca="false">IF(OR($C$118=0,C94=""),"",C94/$C$118)</f>
        <v/>
      </c>
    </row>
    <row r="95" customFormat="false" ht="15" hidden="false" customHeight="false" outlineLevel="0" collapsed="false">
      <c r="A95" s="39" t="s">
        <v>50</v>
      </c>
      <c r="B95" s="40"/>
      <c r="C95" s="40"/>
      <c r="D95" s="40"/>
      <c r="E95" s="40"/>
      <c r="F95" s="40"/>
    </row>
    <row r="96" customFormat="false" ht="15" hidden="false" customHeight="false" outlineLevel="0" collapsed="false">
      <c r="A96" s="41" t="str">
        <f aca="false">IF(Augusztus!A96="","",Augusztus!A96)</f>
        <v>Cigaretta, dohány</v>
      </c>
      <c r="B96" s="42"/>
      <c r="C96" s="25"/>
      <c r="D96" s="42"/>
      <c r="E96" s="25" t="str">
        <f aca="false">IF(D96=0,"",D96-B96)</f>
        <v/>
      </c>
      <c r="F96" s="30" t="str">
        <f aca="false">IF(OR($C$118=0,B96=""),"",B96/$C$118)</f>
        <v/>
      </c>
    </row>
    <row r="97" customFormat="false" ht="15" hidden="false" customHeight="false" outlineLevel="0" collapsed="false">
      <c r="A97" s="41" t="str">
        <f aca="false">IF(Augusztus!A97="","",Augusztus!A97)</f>
        <v>E-cigaretta, hevített dohánytermék</v>
      </c>
      <c r="B97" s="42"/>
      <c r="C97" s="25"/>
      <c r="D97" s="42"/>
      <c r="E97" s="25" t="str">
        <f aca="false">IF(D97=0,"",D97-B97)</f>
        <v/>
      </c>
      <c r="F97" s="30" t="str">
        <f aca="false">IF(OR($C$118=0,B97=""),"",B97/$C$118)</f>
        <v/>
      </c>
    </row>
    <row r="98" customFormat="false" ht="15" hidden="false" customHeight="false" outlineLevel="0" collapsed="false">
      <c r="A98" s="41" t="str">
        <f aca="false">IF(Augusztus!A98="","",Augusztus!A98)</f>
        <v/>
      </c>
      <c r="B98" s="42"/>
      <c r="C98" s="25"/>
      <c r="D98" s="42"/>
      <c r="E98" s="25" t="str">
        <f aca="false">IF(D98=0,"",D98-B98)</f>
        <v/>
      </c>
      <c r="F98" s="30" t="str">
        <f aca="false">IF(OR($C$118=0,B98=""),"",B98/$C$118)</f>
        <v/>
      </c>
    </row>
    <row r="99" customFormat="false" ht="15" hidden="false" customHeight="false" outlineLevel="0" collapsed="false">
      <c r="A99" s="43" t="s">
        <v>133</v>
      </c>
      <c r="B99" s="35"/>
      <c r="C99" s="44" t="n">
        <f aca="false">SUM(B96:B98)</f>
        <v>0</v>
      </c>
      <c r="D99" s="44" t="n">
        <f aca="false">SUM(D96:D98)</f>
        <v>0</v>
      </c>
      <c r="E99" s="44" t="str">
        <f aca="false">IF(D99=0,"",D99-C99)</f>
        <v/>
      </c>
      <c r="F99" s="45" t="str">
        <f aca="false">IF(OR($C$118=0,C99=""),"",C99/$C$118)</f>
        <v/>
      </c>
    </row>
    <row r="100" customFormat="false" ht="15" hidden="false" customHeight="false" outlineLevel="0" collapsed="false">
      <c r="A100" s="39" t="s">
        <v>51</v>
      </c>
      <c r="B100" s="40"/>
      <c r="C100" s="40"/>
      <c r="D100" s="40"/>
      <c r="E100" s="40"/>
      <c r="F100" s="40"/>
    </row>
    <row r="101" customFormat="false" ht="15" hidden="false" customHeight="false" outlineLevel="0" collapsed="false">
      <c r="A101" s="41" t="str">
        <f aca="false">IF(Augusztus!A101="","",Augusztus!A101)</f>
        <v>Állateledel, jutalomfalat</v>
      </c>
      <c r="B101" s="42"/>
      <c r="C101" s="25"/>
      <c r="D101" s="42"/>
      <c r="E101" s="25" t="str">
        <f aca="false">IF(D101=0,"",D101-B101)</f>
        <v/>
      </c>
      <c r="F101" s="30" t="str">
        <f aca="false">IF(OR($C$118=0,B101=""),"",B101/$C$118)</f>
        <v/>
      </c>
    </row>
    <row r="102" customFormat="false" ht="15" hidden="false" customHeight="false" outlineLevel="0" collapsed="false">
      <c r="A102" s="41" t="str">
        <f aca="false">IF(Augusztus!A102="","",Augusztus!A102)</f>
        <v>Állatorvos, oltások, gyógyszer</v>
      </c>
      <c r="B102" s="42"/>
      <c r="C102" s="25"/>
      <c r="D102" s="42"/>
      <c r="E102" s="25" t="str">
        <f aca="false">IF(D102=0,"",D102-B102)</f>
        <v/>
      </c>
      <c r="F102" s="30" t="str">
        <f aca="false">IF(OR($C$118=0,B102=""),"",B102/$C$118)</f>
        <v/>
      </c>
    </row>
    <row r="103" customFormat="false" ht="15" hidden="false" customHeight="false" outlineLevel="0" collapsed="false">
      <c r="A103" s="41" t="str">
        <f aca="false">IF(Augusztus!A103="","",Augusztus!A103)</f>
        <v>Felszerelés, alom, játékok</v>
      </c>
      <c r="B103" s="42"/>
      <c r="C103" s="25"/>
      <c r="D103" s="42"/>
      <c r="E103" s="25" t="str">
        <f aca="false">IF(D103=0,"",D103-B103)</f>
        <v/>
      </c>
      <c r="F103" s="30" t="str">
        <f aca="false">IF(OR($C$118=0,B103=""),"",B103/$C$118)</f>
        <v/>
      </c>
    </row>
    <row r="104" customFormat="false" ht="15" hidden="false" customHeight="false" outlineLevel="0" collapsed="false">
      <c r="A104" s="41" t="str">
        <f aca="false">IF(Augusztus!A104="","",Augusztus!A104)</f>
        <v>Kisállat-kozmetika, panzió, kutyaiskola</v>
      </c>
      <c r="B104" s="42"/>
      <c r="C104" s="25"/>
      <c r="D104" s="42"/>
      <c r="E104" s="25" t="str">
        <f aca="false">IF(D104=0,"",D104-B104)</f>
        <v/>
      </c>
      <c r="F104" s="30" t="str">
        <f aca="false">IF(OR($C$118=0,B104=""),"",B104/$C$118)</f>
        <v/>
      </c>
    </row>
    <row r="105" customFormat="false" ht="15" hidden="false" customHeight="false" outlineLevel="0" collapsed="false">
      <c r="A105" s="41" t="str">
        <f aca="false">IF(Augusztus!A105="","",Augusztus!A105)</f>
        <v/>
      </c>
      <c r="B105" s="42"/>
      <c r="C105" s="25"/>
      <c r="D105" s="42"/>
      <c r="E105" s="25" t="str">
        <f aca="false">IF(D105=0,"",D105-B105)</f>
        <v/>
      </c>
      <c r="F105" s="30" t="str">
        <f aca="false">IF(OR($C$118=0,B105=""),"",B105/$C$118)</f>
        <v/>
      </c>
    </row>
    <row r="106" customFormat="false" ht="15" hidden="false" customHeight="false" outlineLevel="0" collapsed="false">
      <c r="A106" s="43" t="s">
        <v>138</v>
      </c>
      <c r="B106" s="35"/>
      <c r="C106" s="44" t="n">
        <f aca="false">SUM(B101:B105)</f>
        <v>0</v>
      </c>
      <c r="D106" s="44" t="n">
        <f aca="false">SUM(D101:D105)</f>
        <v>0</v>
      </c>
      <c r="E106" s="44" t="str">
        <f aca="false">IF(D106=0,"",D106-C106)</f>
        <v/>
      </c>
      <c r="F106" s="45" t="str">
        <f aca="false">IF(OR($C$118=0,C106=""),"",C106/$C$118)</f>
        <v/>
      </c>
    </row>
    <row r="107" customFormat="false" ht="15" hidden="false" customHeight="false" outlineLevel="0" collapsed="false">
      <c r="A107" s="39" t="s">
        <v>52</v>
      </c>
      <c r="B107" s="40"/>
      <c r="C107" s="40"/>
      <c r="D107" s="40"/>
      <c r="E107" s="40"/>
      <c r="F107" s="40"/>
    </row>
    <row r="108" customFormat="false" ht="15" hidden="false" customHeight="false" outlineLevel="0" collapsed="false">
      <c r="A108" s="41" t="str">
        <f aca="false">IF(Augusztus!A108="","",Augusztus!A108)</f>
        <v>Hobbi</v>
      </c>
      <c r="B108" s="42"/>
      <c r="C108" s="25"/>
      <c r="D108" s="42"/>
      <c r="E108" s="25" t="str">
        <f aca="false">IF(D108=0,"",D108-B108)</f>
        <v/>
      </c>
      <c r="F108" s="30" t="str">
        <f aca="false">IF(OR($C$118=0,B108=""),"",B108/$C$118)</f>
        <v/>
      </c>
    </row>
    <row r="109" customFormat="false" ht="15" hidden="false" customHeight="false" outlineLevel="0" collapsed="false">
      <c r="A109" s="41" t="str">
        <f aca="false">IF(Augusztus!A109="","",Augusztus!A109)</f>
        <v>Szórakozás (mozi, színház, koncert, étterem)</v>
      </c>
      <c r="B109" s="42"/>
      <c r="C109" s="25"/>
      <c r="D109" s="42"/>
      <c r="E109" s="25" t="str">
        <f aca="false">IF(D109=0,"",D109-B109)</f>
        <v/>
      </c>
      <c r="F109" s="30" t="str">
        <f aca="false">IF(OR($C$118=0,B109=""),"",B109/$C$118)</f>
        <v/>
      </c>
    </row>
    <row r="110" customFormat="false" ht="15" hidden="false" customHeight="false" outlineLevel="0" collapsed="false">
      <c r="A110" s="41" t="str">
        <f aca="false">IF(Augusztus!A110="","",Augusztus!A110)</f>
        <v>Nyaralás, utazás</v>
      </c>
      <c r="B110" s="42"/>
      <c r="C110" s="25"/>
      <c r="D110" s="42"/>
      <c r="E110" s="25" t="str">
        <f aca="false">IF(D110=0,"",D110-B110)</f>
        <v/>
      </c>
      <c r="F110" s="30" t="str">
        <f aca="false">IF(OR($C$118=0,B110=""),"",B110/$C$118)</f>
        <v/>
      </c>
    </row>
    <row r="111" customFormat="false" ht="15" hidden="false" customHeight="false" outlineLevel="0" collapsed="false">
      <c r="A111" s="41" t="str">
        <f aca="false">IF(Augusztus!A111="","",Augusztus!A111)</f>
        <v/>
      </c>
      <c r="B111" s="42"/>
      <c r="C111" s="25"/>
      <c r="D111" s="42"/>
      <c r="E111" s="25" t="str">
        <f aca="false">IF(D111=0,"",D111-B111)</f>
        <v/>
      </c>
      <c r="F111" s="30" t="str">
        <f aca="false">IF(OR($C$118=0,B111=""),"",B111/$C$118)</f>
        <v/>
      </c>
    </row>
    <row r="112" customFormat="false" ht="15" hidden="false" customHeight="false" outlineLevel="0" collapsed="false">
      <c r="A112" s="43" t="s">
        <v>142</v>
      </c>
      <c r="B112" s="35"/>
      <c r="C112" s="44" t="n">
        <f aca="false">SUM(B108:B111)</f>
        <v>0</v>
      </c>
      <c r="D112" s="44" t="n">
        <f aca="false">SUM(D108:D111)</f>
        <v>0</v>
      </c>
      <c r="E112" s="44" t="str">
        <f aca="false">IF(D112=0,"",D112-C112)</f>
        <v/>
      </c>
      <c r="F112" s="45" t="str">
        <f aca="false">IF(OR($C$118=0,C112=""),"",C112/$C$118)</f>
        <v/>
      </c>
    </row>
    <row r="113" customFormat="false" ht="15" hidden="false" customHeight="false" outlineLevel="0" collapsed="false">
      <c r="A113" s="39" t="s">
        <v>53</v>
      </c>
      <c r="B113" s="40"/>
      <c r="C113" s="40"/>
      <c r="D113" s="40"/>
      <c r="E113" s="40"/>
      <c r="F113" s="40"/>
    </row>
    <row r="114" customFormat="false" ht="15" hidden="false" customHeight="false" outlineLevel="0" collapsed="false">
      <c r="A114" s="41" t="str">
        <f aca="false">IF(Augusztus!A114="","",Augusztus!A114)</f>
        <v>Ünnepek, ajándékok</v>
      </c>
      <c r="B114" s="42"/>
      <c r="C114" s="25"/>
      <c r="D114" s="42"/>
      <c r="E114" s="25" t="str">
        <f aca="false">IF(D114=0,"",D114-B114)</f>
        <v/>
      </c>
      <c r="F114" s="30" t="str">
        <f aca="false">IF(OR($C$118=0,B114=""),"",B114/$C$118)</f>
        <v/>
      </c>
    </row>
    <row r="115" customFormat="false" ht="15" hidden="false" customHeight="false" outlineLevel="0" collapsed="false">
      <c r="A115" s="41" t="str">
        <f aca="false">IF(Augusztus!A115="","",Augusztus!A115)</f>
        <v>Egyéb kiadás</v>
      </c>
      <c r="B115" s="42"/>
      <c r="C115" s="25"/>
      <c r="D115" s="42"/>
      <c r="E115" s="25" t="str">
        <f aca="false">IF(D115=0,"",D115-B115)</f>
        <v/>
      </c>
      <c r="F115" s="30" t="str">
        <f aca="false">IF(OR($C$118=0,B115=""),"",B115/$C$118)</f>
        <v/>
      </c>
    </row>
    <row r="116" customFormat="false" ht="15" hidden="false" customHeight="false" outlineLevel="0" collapsed="false">
      <c r="A116" s="41" t="str">
        <f aca="false">IF(Augusztus!A116="","",Augusztus!A116)</f>
        <v/>
      </c>
      <c r="B116" s="42"/>
      <c r="C116" s="25"/>
      <c r="D116" s="42"/>
      <c r="E116" s="25" t="str">
        <f aca="false">IF(D116=0,"",D116-B116)</f>
        <v/>
      </c>
      <c r="F116" s="30" t="str">
        <f aca="false">IF(OR($C$118=0,B116=""),"",B116/$C$118)</f>
        <v/>
      </c>
    </row>
    <row r="117" customFormat="false" ht="15" hidden="false" customHeight="false" outlineLevel="0" collapsed="false">
      <c r="A117" s="43" t="s">
        <v>145</v>
      </c>
      <c r="B117" s="35"/>
      <c r="C117" s="44" t="n">
        <f aca="false">SUM(B114:B116)</f>
        <v>0</v>
      </c>
      <c r="D117" s="44" t="n">
        <f aca="false">SUM(D114:D116)</f>
        <v>0</v>
      </c>
      <c r="E117" s="44" t="str">
        <f aca="false">IF(D117=0,"",D117-C117)</f>
        <v/>
      </c>
      <c r="F117" s="45" t="str">
        <f aca="false">IF(OR($C$118=0,C117=""),"",C117/$C$118)</f>
        <v/>
      </c>
    </row>
    <row r="118" customFormat="false" ht="15" hidden="false" customHeight="false" outlineLevel="0" collapsed="false">
      <c r="A118" s="33" t="s">
        <v>146</v>
      </c>
      <c r="B118" s="33"/>
      <c r="C118" s="50" t="n">
        <f aca="false">C35+C42+C52+C66+C79+C85+C94+C99+C106+C112+C117</f>
        <v>0</v>
      </c>
      <c r="D118" s="50" t="n">
        <f aca="false">D35+D42+D52+D66+D79+D85+D94+D99+D106+D112+D117</f>
        <v>0</v>
      </c>
      <c r="E118" s="50" t="str">
        <f aca="false">IF(D118=0,"",D118-C118)</f>
        <v/>
      </c>
      <c r="F118" s="51" t="str">
        <f aca="false">IF($C$16=0,"",C118/$C$16)</f>
        <v/>
      </c>
    </row>
    <row r="119" customFormat="false" ht="15" hidden="false" customHeight="false" outlineLevel="0" collapsed="false">
      <c r="A119" s="8" t="s">
        <v>147</v>
      </c>
      <c r="B119" s="8"/>
      <c r="C119" s="8" t="s">
        <v>148</v>
      </c>
      <c r="D119" s="8" t="s">
        <v>149</v>
      </c>
      <c r="E119" s="8"/>
      <c r="F119" s="8" t="s">
        <v>150</v>
      </c>
    </row>
    <row r="120" customFormat="false" ht="15" hidden="false" customHeight="false" outlineLevel="0" collapsed="false">
      <c r="A120" s="13" t="s">
        <v>151</v>
      </c>
      <c r="B120" s="52"/>
      <c r="C120" s="53" t="n">
        <f aca="false">C16</f>
        <v>0</v>
      </c>
      <c r="D120" s="53" t="n">
        <f aca="false">D16</f>
        <v>0</v>
      </c>
      <c r="E120" s="52"/>
      <c r="F120" s="54" t="str">
        <f aca="false">IF($C$120=0,"",C120/$C$120)</f>
        <v/>
      </c>
    </row>
    <row r="121" customFormat="false" ht="15" hidden="false" customHeight="false" outlineLevel="0" collapsed="false">
      <c r="A121" s="17" t="s">
        <v>152</v>
      </c>
      <c r="B121" s="52"/>
      <c r="C121" s="53" t="n">
        <f aca="false">C28</f>
        <v>0</v>
      </c>
      <c r="D121" s="53" t="n">
        <f aca="false">D28</f>
        <v>0</v>
      </c>
      <c r="E121" s="52"/>
      <c r="F121" s="54" t="str">
        <f aca="false">IF($C$120=0,"",C121/$C$120)</f>
        <v/>
      </c>
    </row>
    <row r="122" customFormat="false" ht="15" hidden="false" customHeight="false" outlineLevel="0" collapsed="false">
      <c r="A122" s="18" t="s">
        <v>153</v>
      </c>
      <c r="B122" s="52"/>
      <c r="C122" s="53" t="n">
        <f aca="false">C118</f>
        <v>0</v>
      </c>
      <c r="D122" s="53" t="n">
        <f aca="false">D118</f>
        <v>0</v>
      </c>
      <c r="E122" s="52"/>
      <c r="F122" s="54" t="str">
        <f aca="false">IF($C$120=0,"",C122/$C$120)</f>
        <v/>
      </c>
    </row>
    <row r="123" customFormat="false" ht="15" hidden="false" customHeight="false" outlineLevel="0" collapsed="false">
      <c r="A123" s="33" t="s">
        <v>154</v>
      </c>
      <c r="B123" s="33"/>
      <c r="C123" s="50" t="n">
        <f aca="false">C121+C122</f>
        <v>0</v>
      </c>
      <c r="D123" s="50" t="n">
        <f aca="false">D121+D122</f>
        <v>0</v>
      </c>
      <c r="E123" s="33"/>
      <c r="F123" s="51" t="str">
        <f aca="false">IF($C$120=0,"",C123/$C$120)</f>
        <v/>
      </c>
    </row>
    <row r="124" customFormat="false" ht="15" hidden="false" customHeight="false" outlineLevel="0" collapsed="false">
      <c r="A124" s="19" t="s">
        <v>155</v>
      </c>
      <c r="B124" s="19"/>
      <c r="C124" s="20" t="n">
        <f aca="false">C120-C123</f>
        <v>0</v>
      </c>
      <c r="D124" s="20" t="n">
        <f aca="false">D120-D123</f>
        <v>0</v>
      </c>
      <c r="E124" s="19"/>
      <c r="F124" s="55" t="str">
        <f aca="false">IF($C$120=0,"",C124/$C$120)</f>
        <v/>
      </c>
    </row>
    <row r="125" customFormat="false" ht="15" hidden="false" customHeight="false" outlineLevel="0" collapsed="false">
      <c r="A125" s="24" t="s">
        <v>156</v>
      </c>
      <c r="B125" s="24"/>
      <c r="C125" s="23" t="str">
        <f aca="false">IF(C120=0,"–",C121/C120)</f>
        <v>–</v>
      </c>
      <c r="D125" s="23" t="str">
        <f aca="false">IF(D120=0,"–",D121/D120)</f>
        <v>–</v>
      </c>
      <c r="E125" s="24"/>
      <c r="F125" s="24"/>
    </row>
    <row r="126" customFormat="false" ht="15" hidden="false" customHeight="false" outlineLevel="0" collapsed="false">
      <c r="A126" s="36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7" t="str">
        <f aca="false">" 💰 HAVI KÖLTSÉGVETÉS — "&amp;UPPER("Október")&amp;" "&amp;'📊 Éves Összesítő'!$B$2</f>
        <v> 💰 HAVI KÖLTSÉGVETÉS — OKTÓBER 2026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37" t="s">
        <v>56</v>
      </c>
      <c r="B2" s="38" t="s">
        <v>57</v>
      </c>
      <c r="C2" s="38" t="s">
        <v>58</v>
      </c>
      <c r="D2" s="38" t="s">
        <v>59</v>
      </c>
      <c r="E2" s="38" t="s">
        <v>60</v>
      </c>
      <c r="F2" s="38" t="s">
        <v>33</v>
      </c>
    </row>
    <row r="3" customFormat="false" ht="18" hidden="false" customHeight="true" outlineLevel="0" collapsed="false">
      <c r="A3" s="26" t="s">
        <v>61</v>
      </c>
      <c r="B3" s="26"/>
      <c r="C3" s="26"/>
      <c r="D3" s="26"/>
      <c r="E3" s="26"/>
      <c r="F3" s="26"/>
    </row>
    <row r="4" customFormat="false" ht="15" hidden="false" customHeight="false" outlineLevel="0" collapsed="false">
      <c r="A4" s="39" t="s">
        <v>62</v>
      </c>
      <c r="B4" s="40"/>
      <c r="C4" s="40"/>
      <c r="D4" s="40"/>
      <c r="E4" s="40"/>
      <c r="F4" s="40"/>
    </row>
    <row r="5" customFormat="false" ht="15" hidden="false" customHeight="false" outlineLevel="0" collapsed="false">
      <c r="A5" s="41" t="str">
        <f aca="false">IF(Szeptember!A5="","",Szeptember!A5)</f>
        <v>Munkabér 1 (pl. saját)</v>
      </c>
      <c r="B5" s="42"/>
      <c r="C5" s="25"/>
      <c r="D5" s="42"/>
      <c r="E5" s="25" t="str">
        <f aca="false">IF(D5=0,"",B5-D5)</f>
        <v/>
      </c>
      <c r="F5" s="30" t="str">
        <f aca="false">IF(OR($C$16=0,B5=""),"",B5/$C$16)</f>
        <v/>
      </c>
    </row>
    <row r="6" customFormat="false" ht="15" hidden="false" customHeight="false" outlineLevel="0" collapsed="false">
      <c r="A6" s="41" t="str">
        <f aca="false">IF(Szeptember!A6="","",Szeptember!A6)</f>
        <v>Munkabér 2 (pl. partner)</v>
      </c>
      <c r="B6" s="42"/>
      <c r="C6" s="25"/>
      <c r="D6" s="42"/>
      <c r="E6" s="25" t="str">
        <f aca="false">IF(D6=0,"",B6-D6)</f>
        <v/>
      </c>
      <c r="F6" s="30" t="str">
        <f aca="false">IF(OR($C$16=0,B6=""),"",B6/$C$16)</f>
        <v/>
      </c>
    </row>
    <row r="7" customFormat="false" ht="15" hidden="false" customHeight="false" outlineLevel="0" collapsed="false">
      <c r="A7" s="41" t="str">
        <f aca="false">IF(Szeptember!A7="","",Szeptember!A7)</f>
        <v>Vállalkozói bevétel</v>
      </c>
      <c r="B7" s="42"/>
      <c r="C7" s="25"/>
      <c r="D7" s="42"/>
      <c r="E7" s="25" t="str">
        <f aca="false">IF(D7=0,"",B7-D7)</f>
        <v/>
      </c>
      <c r="F7" s="30" t="str">
        <f aca="false">IF(OR($C$16=0,B7=""),"",B7/$C$16)</f>
        <v/>
      </c>
    </row>
    <row r="8" customFormat="false" ht="15" hidden="false" customHeight="false" outlineLevel="0" collapsed="false">
      <c r="A8" s="41" t="str">
        <f aca="false">IF(Szeptember!A8="","",Szeptember!A8)</f>
        <v/>
      </c>
      <c r="B8" s="42"/>
      <c r="C8" s="25"/>
      <c r="D8" s="42"/>
      <c r="E8" s="25" t="str">
        <f aca="false">IF(D8=0,"",B8-D8)</f>
        <v/>
      </c>
      <c r="F8" s="30" t="str">
        <f aca="false">IF(OR($C$16=0,B8=""),"",B8/$C$16)</f>
        <v/>
      </c>
    </row>
    <row r="9" customFormat="false" ht="15" hidden="false" customHeight="false" outlineLevel="0" collapsed="false">
      <c r="A9" s="43" t="s">
        <v>66</v>
      </c>
      <c r="B9" s="35"/>
      <c r="C9" s="44" t="n">
        <f aca="false">SUM(B5:B8)</f>
        <v>0</v>
      </c>
      <c r="D9" s="44" t="n">
        <f aca="false">SUM(D5:D8)</f>
        <v>0</v>
      </c>
      <c r="E9" s="44" t="str">
        <f aca="false">IF(D9=0,"",C9-D9)</f>
        <v/>
      </c>
      <c r="F9" s="45" t="str">
        <f aca="false">IF(OR($C$16=0,C9=""),"",C9/$C$16)</f>
        <v/>
      </c>
    </row>
    <row r="10" customFormat="false" ht="15" hidden="false" customHeight="false" outlineLevel="0" collapsed="false">
      <c r="A10" s="39" t="s">
        <v>67</v>
      </c>
      <c r="B10" s="40"/>
      <c r="C10" s="40"/>
      <c r="D10" s="40"/>
      <c r="E10" s="40"/>
      <c r="F10" s="40"/>
    </row>
    <row r="11" customFormat="false" ht="15" hidden="false" customHeight="false" outlineLevel="0" collapsed="false">
      <c r="A11" s="41" t="str">
        <f aca="false">IF(Szeptember!A11="","",Szeptember!A11)</f>
        <v>CSED / GYED / GYES</v>
      </c>
      <c r="B11" s="42"/>
      <c r="C11" s="25"/>
      <c r="D11" s="42"/>
      <c r="E11" s="25" t="str">
        <f aca="false">IF(D11=0,"",B11-D11)</f>
        <v/>
      </c>
      <c r="F11" s="30" t="str">
        <f aca="false">IF(OR($C$16=0,B11=""),"",B11/$C$16)</f>
        <v/>
      </c>
    </row>
    <row r="12" customFormat="false" ht="15" hidden="false" customHeight="false" outlineLevel="0" collapsed="false">
      <c r="A12" s="41" t="str">
        <f aca="false">IF(Szeptember!A12="","",Szeptember!A12)</f>
        <v>Családi pótlék</v>
      </c>
      <c r="B12" s="42"/>
      <c r="C12" s="25"/>
      <c r="D12" s="42"/>
      <c r="E12" s="25" t="str">
        <f aca="false">IF(D12=0,"",B12-D12)</f>
        <v/>
      </c>
      <c r="F12" s="30" t="str">
        <f aca="false">IF(OR($C$16=0,B12=""),"",B12/$C$16)</f>
        <v/>
      </c>
    </row>
    <row r="13" customFormat="false" ht="15" hidden="false" customHeight="false" outlineLevel="0" collapsed="false">
      <c r="A13" s="41" t="str">
        <f aca="false">IF(Szeptember!A13="","",Szeptember!A13)</f>
        <v>Egyéb (lakáskiadás, bónusz stb.)</v>
      </c>
      <c r="B13" s="42"/>
      <c r="C13" s="25"/>
      <c r="D13" s="42"/>
      <c r="E13" s="25" t="str">
        <f aca="false">IF(D13=0,"",B13-D13)</f>
        <v/>
      </c>
      <c r="F13" s="30" t="str">
        <f aca="false">IF(OR($C$16=0,B13=""),"",B13/$C$16)</f>
        <v/>
      </c>
    </row>
    <row r="14" customFormat="false" ht="15" hidden="false" customHeight="false" outlineLevel="0" collapsed="false">
      <c r="A14" s="41" t="str">
        <f aca="false">IF(Szeptember!A14="","",Szeptember!A14)</f>
        <v/>
      </c>
      <c r="B14" s="42"/>
      <c r="C14" s="25"/>
      <c r="D14" s="42"/>
      <c r="E14" s="25" t="str">
        <f aca="false">IF(D14=0,"",B14-D14)</f>
        <v/>
      </c>
      <c r="F14" s="30" t="str">
        <f aca="false">IF(OR($C$16=0,B14=""),"",B14/$C$16)</f>
        <v/>
      </c>
    </row>
    <row r="15" customFormat="false" ht="15" hidden="false" customHeight="false" outlineLevel="0" collapsed="false">
      <c r="A15" s="43" t="s">
        <v>71</v>
      </c>
      <c r="B15" s="35"/>
      <c r="C15" s="44" t="n">
        <f aca="false">SUM(B11:B14)</f>
        <v>0</v>
      </c>
      <c r="D15" s="44" t="n">
        <f aca="false">SUM(D11:D14)</f>
        <v>0</v>
      </c>
      <c r="E15" s="44" t="str">
        <f aca="false">IF(D15=0,"",C15-D15)</f>
        <v/>
      </c>
      <c r="F15" s="45" t="str">
        <f aca="false">IF(OR($C$16=0,C15=""),"",C15/$C$16)</f>
        <v/>
      </c>
    </row>
    <row r="16" customFormat="false" ht="15" hidden="false" customHeight="false" outlineLevel="0" collapsed="false">
      <c r="A16" s="26" t="s">
        <v>72</v>
      </c>
      <c r="B16" s="26"/>
      <c r="C16" s="46" t="n">
        <f aca="false">C9+C15</f>
        <v>0</v>
      </c>
      <c r="D16" s="46" t="n">
        <f aca="false">D9+D15</f>
        <v>0</v>
      </c>
      <c r="E16" s="46" t="str">
        <f aca="false">IF(D16=0,"",C16-D16)</f>
        <v/>
      </c>
      <c r="F16" s="47" t="str">
        <f aca="false">IF($C$16=0,"",1)</f>
        <v/>
      </c>
    </row>
    <row r="17" customFormat="false" ht="18" hidden="false" customHeight="true" outlineLevel="0" collapsed="false">
      <c r="A17" s="31" t="s">
        <v>73</v>
      </c>
      <c r="B17" s="31"/>
      <c r="C17" s="31"/>
      <c r="D17" s="31"/>
      <c r="E17" s="31"/>
      <c r="F17" s="31"/>
    </row>
    <row r="18" customFormat="false" ht="15" hidden="false" customHeight="false" outlineLevel="0" collapsed="false">
      <c r="A18" s="41" t="str">
        <f aca="false">IF(Szeptember!A18="","",Szeptember!A18)</f>
        <v>Vésztartalék</v>
      </c>
      <c r="B18" s="42"/>
      <c r="C18" s="25"/>
      <c r="D18" s="42"/>
      <c r="E18" s="25" t="str">
        <f aca="false">IF(D18=0,"",B18-D18)</f>
        <v/>
      </c>
      <c r="F18" s="30" t="str">
        <f aca="false">IF(OR($C$28=0,B18=""),"",B18/$C$28)</f>
        <v/>
      </c>
    </row>
    <row r="19" customFormat="false" ht="15" hidden="false" customHeight="false" outlineLevel="0" collapsed="false">
      <c r="A19" s="41" t="str">
        <f aca="false">IF(Szeptember!A19="","",Szeptember!A19)</f>
        <v>Lakástakarékpénztár</v>
      </c>
      <c r="B19" s="42"/>
      <c r="C19" s="25"/>
      <c r="D19" s="42"/>
      <c r="E19" s="25" t="str">
        <f aca="false">IF(D19=0,"",B19-D19)</f>
        <v/>
      </c>
      <c r="F19" s="30" t="str">
        <f aca="false">IF(OR($C$28=0,B19=""),"",B19/$C$28)</f>
        <v/>
      </c>
    </row>
    <row r="20" customFormat="false" ht="15" hidden="false" customHeight="false" outlineLevel="0" collapsed="false">
      <c r="A20" s="41" t="str">
        <f aca="false">IF(Szeptember!A20="","",Szeptember!A20)</f>
        <v>Általános cél</v>
      </c>
      <c r="B20" s="42"/>
      <c r="C20" s="25"/>
      <c r="D20" s="42"/>
      <c r="E20" s="25" t="str">
        <f aca="false">IF(D20=0,"",B20-D20)</f>
        <v/>
      </c>
      <c r="F20" s="30" t="str">
        <f aca="false">IF(OR($C$28=0,B20=""),"",B20/$C$28)</f>
        <v/>
      </c>
    </row>
    <row r="21" customFormat="false" ht="15" hidden="false" customHeight="false" outlineLevel="0" collapsed="false">
      <c r="A21" s="41" t="str">
        <f aca="false">IF(Szeptember!A21="","",Szeptember!A21)</f>
        <v>Hosszú távú (min. 10 éves, általános célú)</v>
      </c>
      <c r="B21" s="42"/>
      <c r="C21" s="25"/>
      <c r="D21" s="42"/>
      <c r="E21" s="25" t="str">
        <f aca="false">IF(D21=0,"",B21-D21)</f>
        <v/>
      </c>
      <c r="F21" s="30" t="str">
        <f aca="false">IF(OR($C$28=0,B21=""),"",B21/$C$28)</f>
        <v/>
      </c>
    </row>
    <row r="22" customFormat="false" ht="15" hidden="false" customHeight="false" outlineLevel="0" collapsed="false">
      <c r="A22" s="41" t="str">
        <f aca="false">IF(Szeptember!A22="","",Szeptember!A22)</f>
        <v>Hosszú távú (min. 10 éves, lakás célú)</v>
      </c>
      <c r="B22" s="42"/>
      <c r="C22" s="25"/>
      <c r="D22" s="42"/>
      <c r="E22" s="25" t="str">
        <f aca="false">IF(D22=0,"",B22-D22)</f>
        <v/>
      </c>
      <c r="F22" s="30" t="str">
        <f aca="false">IF(OR($C$28=0,B22=""),"",B22/$C$28)</f>
        <v/>
      </c>
    </row>
    <row r="23" customFormat="false" ht="15" hidden="false" customHeight="false" outlineLevel="0" collapsed="false">
      <c r="A23" s="41" t="str">
        <f aca="false">IF(Szeptember!A23="","",Szeptember!A23)</f>
        <v>Hosszú távú (min. 10 éves, gyermek jövője célú)</v>
      </c>
      <c r="B23" s="42"/>
      <c r="C23" s="25"/>
      <c r="D23" s="42"/>
      <c r="E23" s="25" t="str">
        <f aca="false">IF(D23=0,"",B23-D23)</f>
        <v/>
      </c>
      <c r="F23" s="30" t="str">
        <f aca="false">IF(OR($C$28=0,B23=""),"",B23/$C$28)</f>
        <v/>
      </c>
    </row>
    <row r="24" customFormat="false" ht="15" hidden="false" customHeight="false" outlineLevel="0" collapsed="false">
      <c r="A24" s="41" t="str">
        <f aca="false">IF(Szeptember!A24="","",Szeptember!A24)</f>
        <v>Hosszú távú (min. 15 éves, nyugdíj célú)</v>
      </c>
      <c r="B24" s="42"/>
      <c r="C24" s="25"/>
      <c r="D24" s="42"/>
      <c r="E24" s="25" t="str">
        <f aca="false">IF(D24=0,"",B24-D24)</f>
        <v/>
      </c>
      <c r="F24" s="30" t="str">
        <f aca="false">IF(OR($C$28=0,B24=""),"",B24/$C$28)</f>
        <v/>
      </c>
    </row>
    <row r="25" customFormat="false" ht="15" hidden="false" customHeight="false" outlineLevel="0" collapsed="false">
      <c r="A25" s="41" t="str">
        <f aca="false">IF(Szeptember!A25="","",Szeptember!A25)</f>
        <v>Nyugdíjbiztosítás</v>
      </c>
      <c r="B25" s="42"/>
      <c r="C25" s="25"/>
      <c r="D25" s="42"/>
      <c r="E25" s="25" t="str">
        <f aca="false">IF(D25=0,"",B25-D25)</f>
        <v/>
      </c>
      <c r="F25" s="30" t="str">
        <f aca="false">IF(OR($C$28=0,B25=""),"",B25/$C$28)</f>
        <v/>
      </c>
    </row>
    <row r="26" customFormat="false" ht="15" hidden="false" customHeight="false" outlineLevel="0" collapsed="false">
      <c r="A26" s="41" t="str">
        <f aca="false">IF(Szeptember!A26="","",Szeptember!A26)</f>
        <v/>
      </c>
      <c r="B26" s="42"/>
      <c r="C26" s="25"/>
      <c r="D26" s="42"/>
      <c r="E26" s="25" t="str">
        <f aca="false">IF(D26=0,"",B26-D26)</f>
        <v/>
      </c>
      <c r="F26" s="30" t="str">
        <f aca="false">IF(OR($C$28=0,B26=""),"",B26/$C$28)</f>
        <v/>
      </c>
    </row>
    <row r="27" customFormat="false" ht="15" hidden="false" customHeight="false" outlineLevel="0" collapsed="false">
      <c r="A27" s="41" t="str">
        <f aca="false">IF(Szeptember!A27="","",Szeptember!A27)</f>
        <v/>
      </c>
      <c r="B27" s="42"/>
      <c r="C27" s="25"/>
      <c r="D27" s="42"/>
      <c r="E27" s="25" t="str">
        <f aca="false">IF(D27=0,"",B27-D27)</f>
        <v/>
      </c>
      <c r="F27" s="30" t="str">
        <f aca="false">IF(OR($C$28=0,B27=""),"",B27/$C$28)</f>
        <v/>
      </c>
    </row>
    <row r="28" customFormat="false" ht="15" hidden="false" customHeight="false" outlineLevel="0" collapsed="false">
      <c r="A28" s="31" t="s">
        <v>82</v>
      </c>
      <c r="B28" s="31"/>
      <c r="C28" s="48" t="n">
        <f aca="false">SUM(B18:B27)</f>
        <v>0</v>
      </c>
      <c r="D28" s="48" t="n">
        <f aca="false">SUM(D18:D27)</f>
        <v>0</v>
      </c>
      <c r="E28" s="48" t="str">
        <f aca="false">IF(D28=0,"",C28-D28)</f>
        <v/>
      </c>
      <c r="F28" s="49" t="str">
        <f aca="false">IF($C$16=0,"",C28/$C$16)</f>
        <v/>
      </c>
    </row>
    <row r="29" customFormat="false" ht="18" hidden="false" customHeight="true" outlineLevel="0" collapsed="false">
      <c r="A29" s="33" t="s">
        <v>83</v>
      </c>
      <c r="B29" s="33"/>
      <c r="C29" s="33"/>
      <c r="D29" s="33"/>
      <c r="E29" s="33"/>
      <c r="F29" s="33"/>
    </row>
    <row r="30" customFormat="false" ht="15" hidden="false" customHeight="false" outlineLevel="0" collapsed="false">
      <c r="A30" s="39" t="s">
        <v>43</v>
      </c>
      <c r="B30" s="40"/>
      <c r="C30" s="40"/>
      <c r="D30" s="40"/>
      <c r="E30" s="40"/>
      <c r="F30" s="40"/>
    </row>
    <row r="31" customFormat="false" ht="15" hidden="false" customHeight="false" outlineLevel="0" collapsed="false">
      <c r="A31" s="41" t="str">
        <f aca="false">IF(Szeptember!A31="","",Szeptember!A31)</f>
        <v>Albérleti díj / lakáshitel</v>
      </c>
      <c r="B31" s="42"/>
      <c r="C31" s="25"/>
      <c r="D31" s="42"/>
      <c r="E31" s="25" t="str">
        <f aca="false">IF(D31=0,"",D31-B31)</f>
        <v/>
      </c>
      <c r="F31" s="30" t="str">
        <f aca="false">IF(OR($C$118=0,B31=""),"",B31/$C$118)</f>
        <v/>
      </c>
    </row>
    <row r="32" customFormat="false" ht="15" hidden="false" customHeight="false" outlineLevel="0" collapsed="false">
      <c r="A32" s="41" t="str">
        <f aca="false">IF(Szeptember!A32="","",Szeptember!A32)</f>
        <v>Rezsi (közművek, közös költség)</v>
      </c>
      <c r="B32" s="42"/>
      <c r="C32" s="25"/>
      <c r="D32" s="42"/>
      <c r="E32" s="25" t="str">
        <f aca="false">IF(D32=0,"",D32-B32)</f>
        <v/>
      </c>
      <c r="F32" s="30" t="str">
        <f aca="false">IF(OR($C$118=0,B32=""),"",B32/$C$118)</f>
        <v/>
      </c>
    </row>
    <row r="33" customFormat="false" ht="15" hidden="false" customHeight="false" outlineLevel="0" collapsed="false">
      <c r="A33" s="41" t="str">
        <f aca="false">IF(Szeptember!A33="","",Szeptember!A33)</f>
        <v>Telefon, internet, digitális előfizetések</v>
      </c>
      <c r="B33" s="42"/>
      <c r="C33" s="25"/>
      <c r="D33" s="42"/>
      <c r="E33" s="25" t="str">
        <f aca="false">IF(D33=0,"",D33-B33)</f>
        <v/>
      </c>
      <c r="F33" s="30" t="str">
        <f aca="false">IF(OR($C$118=0,B33=""),"",B33/$C$118)</f>
        <v/>
      </c>
    </row>
    <row r="34" customFormat="false" ht="15" hidden="false" customHeight="false" outlineLevel="0" collapsed="false">
      <c r="A34" s="41" t="str">
        <f aca="false">IF(Szeptember!A34="","",Szeptember!A34)</f>
        <v/>
      </c>
      <c r="B34" s="42"/>
      <c r="C34" s="25"/>
      <c r="D34" s="42"/>
      <c r="E34" s="25" t="str">
        <f aca="false">IF(D34=0,"",D34-B34)</f>
        <v/>
      </c>
      <c r="F34" s="30" t="str">
        <f aca="false">IF(OR($C$118=0,B34=""),"",B34/$C$118)</f>
        <v/>
      </c>
    </row>
    <row r="35" customFormat="false" ht="15" hidden="false" customHeight="false" outlineLevel="0" collapsed="false">
      <c r="A35" s="43" t="s">
        <v>87</v>
      </c>
      <c r="B35" s="35"/>
      <c r="C35" s="44" t="n">
        <f aca="false">SUM(B31:B34)</f>
        <v>0</v>
      </c>
      <c r="D35" s="44" t="n">
        <f aca="false">SUM(D31:D34)</f>
        <v>0</v>
      </c>
      <c r="E35" s="44" t="str">
        <f aca="false">IF(D35=0,"",D35-C35)</f>
        <v/>
      </c>
      <c r="F35" s="45" t="str">
        <f aca="false">IF(OR($C$118=0,C35=""),"",C35/$C$118)</f>
        <v/>
      </c>
    </row>
    <row r="36" customFormat="false" ht="15" hidden="false" customHeight="false" outlineLevel="0" collapsed="false">
      <c r="A36" s="39" t="s">
        <v>44</v>
      </c>
      <c r="B36" s="40"/>
      <c r="C36" s="40"/>
      <c r="D36" s="40"/>
      <c r="E36" s="40"/>
      <c r="F36" s="40"/>
    </row>
    <row r="37" customFormat="false" ht="15" hidden="false" customHeight="false" outlineLevel="0" collapsed="false">
      <c r="A37" s="41" t="str">
        <f aca="false">IF(Szeptember!A37="","",Szeptember!A37)</f>
        <v>Nagybevásárlások</v>
      </c>
      <c r="B37" s="42"/>
      <c r="C37" s="25"/>
      <c r="D37" s="42"/>
      <c r="E37" s="25" t="str">
        <f aca="false">IF(D37=0,"",D37-B37)</f>
        <v/>
      </c>
      <c r="F37" s="30" t="str">
        <f aca="false">IF(OR($C$118=0,B37=""),"",B37/$C$118)</f>
        <v/>
      </c>
    </row>
    <row r="38" customFormat="false" ht="15" hidden="false" customHeight="false" outlineLevel="0" collapsed="false">
      <c r="A38" s="41" t="str">
        <f aca="false">IF(Szeptember!A38="","",Szeptember!A38)</f>
        <v>Drogéria</v>
      </c>
      <c r="B38" s="42"/>
      <c r="C38" s="25"/>
      <c r="D38" s="42"/>
      <c r="E38" s="25" t="str">
        <f aca="false">IF(D38=0,"",D38-B38)</f>
        <v/>
      </c>
      <c r="F38" s="30" t="str">
        <f aca="false">IF(OR($C$118=0,B38=""),"",B38/$C$118)</f>
        <v/>
      </c>
    </row>
    <row r="39" customFormat="false" ht="15" hidden="false" customHeight="false" outlineLevel="0" collapsed="false">
      <c r="A39" s="41" t="str">
        <f aca="false">IF(Szeptember!A39="","",Szeptember!A39)</f>
        <v>Ételrendelés</v>
      </c>
      <c r="B39" s="42"/>
      <c r="C39" s="25"/>
      <c r="D39" s="42"/>
      <c r="E39" s="25" t="str">
        <f aca="false">IF(D39=0,"",D39-B39)</f>
        <v/>
      </c>
      <c r="F39" s="30" t="str">
        <f aca="false">IF(OR($C$118=0,B39=""),"",B39/$C$118)</f>
        <v/>
      </c>
    </row>
    <row r="40" customFormat="false" ht="15" hidden="false" customHeight="false" outlineLevel="0" collapsed="false">
      <c r="A40" s="41" t="str">
        <f aca="false">IF(Szeptember!A40="","",Szeptember!A40)</f>
        <v>Egyéb élelmiszer, bevásárlás</v>
      </c>
      <c r="B40" s="42"/>
      <c r="C40" s="25"/>
      <c r="D40" s="42"/>
      <c r="E40" s="25" t="str">
        <f aca="false">IF(D40=0,"",D40-B40)</f>
        <v/>
      </c>
      <c r="F40" s="30" t="str">
        <f aca="false">IF(OR($C$118=0,B40=""),"",B40/$C$118)</f>
        <v/>
      </c>
    </row>
    <row r="41" customFormat="false" ht="15" hidden="false" customHeight="false" outlineLevel="0" collapsed="false">
      <c r="A41" s="41" t="str">
        <f aca="false">IF(Szeptember!A41="","",Szeptember!A41)</f>
        <v/>
      </c>
      <c r="B41" s="42"/>
      <c r="C41" s="25"/>
      <c r="D41" s="42"/>
      <c r="E41" s="25" t="str">
        <f aca="false">IF(D41=0,"",D41-B41)</f>
        <v/>
      </c>
      <c r="F41" s="30" t="str">
        <f aca="false">IF(OR($C$118=0,B41=""),"",B41/$C$118)</f>
        <v/>
      </c>
    </row>
    <row r="42" customFormat="false" ht="15" hidden="false" customHeight="false" outlineLevel="0" collapsed="false">
      <c r="A42" s="43" t="s">
        <v>92</v>
      </c>
      <c r="B42" s="35"/>
      <c r="C42" s="44" t="n">
        <f aca="false">SUM(B37:B41)</f>
        <v>0</v>
      </c>
      <c r="D42" s="44" t="n">
        <f aca="false">SUM(D37:D41)</f>
        <v>0</v>
      </c>
      <c r="E42" s="44" t="str">
        <f aca="false">IF(D42=0,"",D42-C42)</f>
        <v/>
      </c>
      <c r="F42" s="45" t="str">
        <f aca="false">IF(OR($C$118=0,C42=""),"",C42/$C$118)</f>
        <v/>
      </c>
    </row>
    <row r="43" customFormat="false" ht="15" hidden="false" customHeight="false" outlineLevel="0" collapsed="false">
      <c r="A43" s="39" t="s">
        <v>45</v>
      </c>
      <c r="B43" s="40"/>
      <c r="C43" s="40"/>
      <c r="D43" s="40"/>
      <c r="E43" s="40"/>
      <c r="F43" s="40"/>
    </row>
    <row r="44" customFormat="false" ht="15" hidden="false" customHeight="false" outlineLevel="0" collapsed="false">
      <c r="A44" s="41" t="str">
        <f aca="false">IF(Szeptember!A44="","",Szeptember!A44)</f>
        <v>Lakásbiztosítás</v>
      </c>
      <c r="B44" s="42"/>
      <c r="C44" s="25"/>
      <c r="D44" s="42"/>
      <c r="E44" s="25" t="str">
        <f aca="false">IF(D44=0,"",D44-B44)</f>
        <v/>
      </c>
      <c r="F44" s="30" t="str">
        <f aca="false">IF(OR($C$118=0,B44=""),"",B44/$C$118)</f>
        <v/>
      </c>
    </row>
    <row r="45" customFormat="false" ht="15" hidden="false" customHeight="false" outlineLevel="0" collapsed="false">
      <c r="A45" s="41" t="str">
        <f aca="false">IF(Szeptember!A45="","",Szeptember!A45)</f>
        <v>Életbiztosítás</v>
      </c>
      <c r="B45" s="42"/>
      <c r="C45" s="25"/>
      <c r="D45" s="42"/>
      <c r="E45" s="25" t="str">
        <f aca="false">IF(D45=0,"",D45-B45)</f>
        <v/>
      </c>
      <c r="F45" s="30" t="str">
        <f aca="false">IF(OR($C$118=0,B45=""),"",B45/$C$118)</f>
        <v/>
      </c>
    </row>
    <row r="46" customFormat="false" ht="15" hidden="false" customHeight="false" outlineLevel="0" collapsed="false">
      <c r="A46" s="41" t="str">
        <f aca="false">IF(Szeptember!A46="","",Szeptember!A46)</f>
        <v>Baleset- és betegségbiztosítás</v>
      </c>
      <c r="B46" s="42"/>
      <c r="C46" s="25"/>
      <c r="D46" s="42"/>
      <c r="E46" s="25" t="str">
        <f aca="false">IF(D46=0,"",D46-B46)</f>
        <v/>
      </c>
      <c r="F46" s="30" t="str">
        <f aca="false">IF(OR($C$118=0,B46=""),"",B46/$C$118)</f>
        <v/>
      </c>
    </row>
    <row r="47" customFormat="false" ht="15" hidden="false" customHeight="false" outlineLevel="0" collapsed="false">
      <c r="A47" s="41" t="str">
        <f aca="false">IF(Szeptember!A47="","",Szeptember!A47)</f>
        <v>Egészségbiztosítás</v>
      </c>
      <c r="B47" s="42"/>
      <c r="C47" s="25"/>
      <c r="D47" s="42"/>
      <c r="E47" s="25" t="str">
        <f aca="false">IF(D47=0,"",D47-B47)</f>
        <v/>
      </c>
      <c r="F47" s="30" t="str">
        <f aca="false">IF(OR($C$118=0,B47=""),"",B47/$C$118)</f>
        <v/>
      </c>
    </row>
    <row r="48" customFormat="false" ht="15" hidden="false" customHeight="false" outlineLevel="0" collapsed="false">
      <c r="A48" s="41" t="str">
        <f aca="false">IF(Szeptember!A48="","",Szeptember!A48)</f>
        <v>Hiteltörlesztés</v>
      </c>
      <c r="B48" s="42"/>
      <c r="C48" s="25"/>
      <c r="D48" s="42"/>
      <c r="E48" s="25" t="str">
        <f aca="false">IF(D48=0,"",D48-B48)</f>
        <v/>
      </c>
      <c r="F48" s="30" t="str">
        <f aca="false">IF(OR($C$118=0,B48=""),"",B48/$C$118)</f>
        <v/>
      </c>
    </row>
    <row r="49" customFormat="false" ht="15" hidden="false" customHeight="false" outlineLevel="0" collapsed="false">
      <c r="A49" s="41" t="str">
        <f aca="false">IF(Szeptember!A49="","",Szeptember!A49)</f>
        <v>Egyéb szerződés</v>
      </c>
      <c r="B49" s="42"/>
      <c r="C49" s="25"/>
      <c r="D49" s="42"/>
      <c r="E49" s="25" t="str">
        <f aca="false">IF(D49=0,"",D49-B49)</f>
        <v/>
      </c>
      <c r="F49" s="30" t="str">
        <f aca="false">IF(OR($C$118=0,B49=""),"",B49/$C$118)</f>
        <v/>
      </c>
    </row>
    <row r="50" customFormat="false" ht="15" hidden="false" customHeight="false" outlineLevel="0" collapsed="false">
      <c r="A50" s="41" t="str">
        <f aca="false">IF(Szeptember!A50="","",Szeptember!A50)</f>
        <v/>
      </c>
      <c r="B50" s="42"/>
      <c r="C50" s="25"/>
      <c r="D50" s="42"/>
      <c r="E50" s="25" t="str">
        <f aca="false">IF(D50=0,"",D50-B50)</f>
        <v/>
      </c>
      <c r="F50" s="30" t="str">
        <f aca="false">IF(OR($C$118=0,B50=""),"",B50/$C$118)</f>
        <v/>
      </c>
    </row>
    <row r="51" customFormat="false" ht="15" hidden="false" customHeight="false" outlineLevel="0" collapsed="false">
      <c r="A51" s="41" t="str">
        <f aca="false">IF(Szeptember!A51="","",Szeptember!A51)</f>
        <v/>
      </c>
      <c r="B51" s="42"/>
      <c r="C51" s="25"/>
      <c r="D51" s="42"/>
      <c r="E51" s="25" t="str">
        <f aca="false">IF(D51=0,"",D51-B51)</f>
        <v/>
      </c>
      <c r="F51" s="30" t="str">
        <f aca="false">IF(OR($C$118=0,B51=""),"",B51/$C$118)</f>
        <v/>
      </c>
    </row>
    <row r="52" customFormat="false" ht="15" hidden="false" customHeight="false" outlineLevel="0" collapsed="false">
      <c r="A52" s="43" t="s">
        <v>99</v>
      </c>
      <c r="B52" s="35"/>
      <c r="C52" s="44" t="n">
        <f aca="false">SUM(B44:B51)</f>
        <v>0</v>
      </c>
      <c r="D52" s="44" t="n">
        <f aca="false">SUM(D44:D51)</f>
        <v>0</v>
      </c>
      <c r="E52" s="44" t="str">
        <f aca="false">IF(D52=0,"",D52-C52)</f>
        <v/>
      </c>
      <c r="F52" s="45" t="str">
        <f aca="false">IF(OR($C$118=0,C52=""),"",C52/$C$118)</f>
        <v/>
      </c>
    </row>
    <row r="53" customFormat="false" ht="15" hidden="false" customHeight="false" outlineLevel="0" collapsed="false">
      <c r="A53" s="39" t="s">
        <v>46</v>
      </c>
      <c r="B53" s="40"/>
      <c r="C53" s="40"/>
      <c r="D53" s="40"/>
      <c r="E53" s="40"/>
      <c r="F53" s="40"/>
    </row>
    <row r="54" customFormat="false" ht="15" hidden="false" customHeight="false" outlineLevel="0" collapsed="false">
      <c r="A54" s="41" t="str">
        <f aca="false">IF(Szeptember!A54="","",Szeptember!A54)</f>
        <v>Üzemanyag, elektromos töltés</v>
      </c>
      <c r="B54" s="42"/>
      <c r="C54" s="25"/>
      <c r="D54" s="42"/>
      <c r="E54" s="25" t="str">
        <f aca="false">IF(D54=0,"",D54-B54)</f>
        <v/>
      </c>
      <c r="F54" s="30" t="str">
        <f aca="false">IF(OR($C$118=0,B54=""),"",B54/$C$118)</f>
        <v/>
      </c>
    </row>
    <row r="55" customFormat="false" ht="15" hidden="false" customHeight="false" outlineLevel="0" collapsed="false">
      <c r="A55" s="41" t="str">
        <f aca="false">IF(Szeptember!A55="","",Szeptember!A55)</f>
        <v>Parkolás, útdíj, autópálya-matrica</v>
      </c>
      <c r="B55" s="42"/>
      <c r="C55" s="25"/>
      <c r="D55" s="42"/>
      <c r="E55" s="25" t="str">
        <f aca="false">IF(D55=0,"",D55-B55)</f>
        <v/>
      </c>
      <c r="F55" s="30" t="str">
        <f aca="false">IF(OR($C$118=0,B55=""),"",B55/$C$118)</f>
        <v/>
      </c>
    </row>
    <row r="56" customFormat="false" ht="15" hidden="false" customHeight="false" outlineLevel="0" collapsed="false">
      <c r="A56" s="41" t="str">
        <f aca="false">IF(Szeptember!A56="","",Szeptember!A56)</f>
        <v>Szerviz, karbantartás, gumicsere</v>
      </c>
      <c r="B56" s="42"/>
      <c r="C56" s="25"/>
      <c r="D56" s="42"/>
      <c r="E56" s="25" t="str">
        <f aca="false">IF(D56=0,"",D56-B56)</f>
        <v/>
      </c>
      <c r="F56" s="30" t="str">
        <f aca="false">IF(OR($C$118=0,B56=""),"",B56/$C$118)</f>
        <v/>
      </c>
    </row>
    <row r="57" customFormat="false" ht="15" hidden="false" customHeight="false" outlineLevel="0" collapsed="false">
      <c r="A57" s="41" t="str">
        <f aca="false">IF(Szeptember!A57="","",Szeptember!A57)</f>
        <v>KGFB (kötelező biztosítás)</v>
      </c>
      <c r="B57" s="42"/>
      <c r="C57" s="25"/>
      <c r="D57" s="42"/>
      <c r="E57" s="25" t="str">
        <f aca="false">IF(D57=0,"",D57-B57)</f>
        <v/>
      </c>
      <c r="F57" s="30" t="str">
        <f aca="false">IF(OR($C$118=0,B57=""),"",B57/$C$118)</f>
        <v/>
      </c>
    </row>
    <row r="58" customFormat="false" ht="15" hidden="false" customHeight="false" outlineLevel="0" collapsed="false">
      <c r="A58" s="41" t="str">
        <f aca="false">IF(Szeptember!A58="","",Szeptember!A58)</f>
        <v>CASCO</v>
      </c>
      <c r="B58" s="42"/>
      <c r="C58" s="25"/>
      <c r="D58" s="42"/>
      <c r="E58" s="25" t="str">
        <f aca="false">IF(D58=0,"",D58-B58)</f>
        <v/>
      </c>
      <c r="F58" s="30" t="str">
        <f aca="false">IF(OR($C$118=0,B58=""),"",B58/$C$118)</f>
        <v/>
      </c>
    </row>
    <row r="59" customFormat="false" ht="15" hidden="false" customHeight="false" outlineLevel="0" collapsed="false">
      <c r="A59" s="41" t="str">
        <f aca="false">IF(Szeptember!A59="","",Szeptember!A59)</f>
        <v>Gépjárműadó</v>
      </c>
      <c r="B59" s="42"/>
      <c r="C59" s="25"/>
      <c r="D59" s="42"/>
      <c r="E59" s="25" t="str">
        <f aca="false">IF(D59=0,"",D59-B59)</f>
        <v/>
      </c>
      <c r="F59" s="30" t="str">
        <f aca="false">IF(OR($C$118=0,B59=""),"",B59/$C$118)</f>
        <v/>
      </c>
    </row>
    <row r="60" customFormat="false" ht="15" hidden="false" customHeight="false" outlineLevel="0" collapsed="false">
      <c r="A60" s="41" t="str">
        <f aca="false">IF(Szeptember!A60="","",Szeptember!A60)</f>
        <v>Autóhitel, lízing részlet</v>
      </c>
      <c r="B60" s="42"/>
      <c r="C60" s="25"/>
      <c r="D60" s="42"/>
      <c r="E60" s="25" t="str">
        <f aca="false">IF(D60=0,"",D60-B60)</f>
        <v/>
      </c>
      <c r="F60" s="30" t="str">
        <f aca="false">IF(OR($C$118=0,B60=""),"",B60/$C$118)</f>
        <v/>
      </c>
    </row>
    <row r="61" customFormat="false" ht="15" hidden="false" customHeight="false" outlineLevel="0" collapsed="false">
      <c r="A61" s="41" t="str">
        <f aca="false">IF(Szeptember!A61="","",Szeptember!A61)</f>
        <v>Autómosás, egyéb autós költség</v>
      </c>
      <c r="B61" s="42"/>
      <c r="C61" s="25"/>
      <c r="D61" s="42"/>
      <c r="E61" s="25" t="str">
        <f aca="false">IF(D61=0,"",D61-B61)</f>
        <v/>
      </c>
      <c r="F61" s="30" t="str">
        <f aca="false">IF(OR($C$118=0,B61=""),"",B61/$C$118)</f>
        <v/>
      </c>
    </row>
    <row r="62" customFormat="false" ht="15" hidden="false" customHeight="false" outlineLevel="0" collapsed="false">
      <c r="A62" s="41" t="str">
        <f aca="false">IF(Szeptember!A62="","",Szeptember!A62)</f>
        <v>Tömegközlekedés, bérlet</v>
      </c>
      <c r="B62" s="42"/>
      <c r="C62" s="25"/>
      <c r="D62" s="42"/>
      <c r="E62" s="25" t="str">
        <f aca="false">IF(D62=0,"",D62-B62)</f>
        <v/>
      </c>
      <c r="F62" s="30" t="str">
        <f aca="false">IF(OR($C$118=0,B62=""),"",B62/$C$118)</f>
        <v/>
      </c>
    </row>
    <row r="63" customFormat="false" ht="15" hidden="false" customHeight="false" outlineLevel="0" collapsed="false">
      <c r="A63" s="41" t="str">
        <f aca="false">IF(Szeptember!A63="","",Szeptember!A63)</f>
        <v>Taxi, roller, bicikli, közösségi közlekedés</v>
      </c>
      <c r="B63" s="42"/>
      <c r="C63" s="25"/>
      <c r="D63" s="42"/>
      <c r="E63" s="25" t="str">
        <f aca="false">IF(D63=0,"",D63-B63)</f>
        <v/>
      </c>
      <c r="F63" s="30" t="str">
        <f aca="false">IF(OR($C$118=0,B63=""),"",B63/$C$118)</f>
        <v/>
      </c>
    </row>
    <row r="64" customFormat="false" ht="15" hidden="false" customHeight="false" outlineLevel="0" collapsed="false">
      <c r="A64" s="41" t="str">
        <f aca="false">IF(Szeptember!A64="","",Szeptember!A64)</f>
        <v/>
      </c>
      <c r="B64" s="42"/>
      <c r="C64" s="25"/>
      <c r="D64" s="42"/>
      <c r="E64" s="25" t="str">
        <f aca="false">IF(D64=0,"",D64-B64)</f>
        <v/>
      </c>
      <c r="F64" s="30" t="str">
        <f aca="false">IF(OR($C$118=0,B64=""),"",B64/$C$118)</f>
        <v/>
      </c>
    </row>
    <row r="65" customFormat="false" ht="15" hidden="false" customHeight="false" outlineLevel="0" collapsed="false">
      <c r="A65" s="41" t="str">
        <f aca="false">IF(Szeptember!A65="","",Szeptember!A65)</f>
        <v/>
      </c>
      <c r="B65" s="42"/>
      <c r="C65" s="25"/>
      <c r="D65" s="42"/>
      <c r="E65" s="25" t="str">
        <f aca="false">IF(D65=0,"",D65-B65)</f>
        <v/>
      </c>
      <c r="F65" s="30" t="str">
        <f aca="false">IF(OR($C$118=0,B65=""),"",B65/$C$118)</f>
        <v/>
      </c>
    </row>
    <row r="66" customFormat="false" ht="15" hidden="false" customHeight="false" outlineLevel="0" collapsed="false">
      <c r="A66" s="43" t="s">
        <v>110</v>
      </c>
      <c r="B66" s="35"/>
      <c r="C66" s="44" t="n">
        <f aca="false">SUM(B54:B65)</f>
        <v>0</v>
      </c>
      <c r="D66" s="44" t="n">
        <f aca="false">SUM(D54:D65)</f>
        <v>0</v>
      </c>
      <c r="E66" s="44" t="str">
        <f aca="false">IF(D66=0,"",D66-C66)</f>
        <v/>
      </c>
      <c r="F66" s="45" t="str">
        <f aca="false">IF(OR($C$118=0,C66=""),"",C66/$C$118)</f>
        <v/>
      </c>
    </row>
    <row r="67" customFormat="false" ht="15" hidden="false" customHeight="false" outlineLevel="0" collapsed="false">
      <c r="A67" s="39" t="s">
        <v>47</v>
      </c>
      <c r="B67" s="40"/>
      <c r="C67" s="40"/>
      <c r="D67" s="40"/>
      <c r="E67" s="40"/>
      <c r="F67" s="40"/>
    </row>
    <row r="68" customFormat="false" ht="15" hidden="false" customHeight="false" outlineLevel="0" collapsed="false">
      <c r="A68" s="41" t="str">
        <f aca="false">IF(Szeptember!A68="","",Szeptember!A68)</f>
        <v>Gyerek ruha, cipő</v>
      </c>
      <c r="B68" s="42"/>
      <c r="C68" s="25"/>
      <c r="D68" s="42"/>
      <c r="E68" s="25" t="str">
        <f aca="false">IF(D68=0,"",D68-B68)</f>
        <v/>
      </c>
      <c r="F68" s="30" t="str">
        <f aca="false">IF(OR($C$118=0,B68=""),"",B68/$C$118)</f>
        <v/>
      </c>
    </row>
    <row r="69" customFormat="false" ht="15" hidden="false" customHeight="false" outlineLevel="0" collapsed="false">
      <c r="A69" s="41" t="str">
        <f aca="false">IF(Szeptember!A69="","",Szeptember!A69)</f>
        <v>Gyerek étkeztetés (menza)</v>
      </c>
      <c r="B69" s="42"/>
      <c r="C69" s="25"/>
      <c r="D69" s="42"/>
      <c r="E69" s="25" t="str">
        <f aca="false">IF(D69=0,"",D69-B69)</f>
        <v/>
      </c>
      <c r="F69" s="30" t="str">
        <f aca="false">IF(OR($C$118=0,B69=""),"",B69/$C$118)</f>
        <v/>
      </c>
    </row>
    <row r="70" customFormat="false" ht="15" hidden="false" customHeight="false" outlineLevel="0" collapsed="false">
      <c r="A70" s="41" t="str">
        <f aca="false">IF(Szeptember!A70="","",Szeptember!A70)</f>
        <v>Bölcsőde, óvoda, iskola díjai</v>
      </c>
      <c r="B70" s="42"/>
      <c r="C70" s="25"/>
      <c r="D70" s="42"/>
      <c r="E70" s="25" t="str">
        <f aca="false">IF(D70=0,"",D70-B70)</f>
        <v/>
      </c>
      <c r="F70" s="30" t="str">
        <f aca="false">IF(OR($C$118=0,B70=""),"",B70/$C$118)</f>
        <v/>
      </c>
    </row>
    <row r="71" customFormat="false" ht="15" hidden="false" customHeight="false" outlineLevel="0" collapsed="false">
      <c r="A71" s="41" t="str">
        <f aca="false">IF(Szeptember!A71="","",Szeptember!A71)</f>
        <v>Tankönyv, tanszer</v>
      </c>
      <c r="B71" s="42"/>
      <c r="C71" s="25"/>
      <c r="D71" s="42"/>
      <c r="E71" s="25" t="str">
        <f aca="false">IF(D71=0,"",D71-B71)</f>
        <v/>
      </c>
      <c r="F71" s="30" t="str">
        <f aca="false">IF(OR($C$118=0,B71=""),"",B71/$C$118)</f>
        <v/>
      </c>
    </row>
    <row r="72" customFormat="false" ht="15" hidden="false" customHeight="false" outlineLevel="0" collapsed="false">
      <c r="A72" s="41" t="str">
        <f aca="false">IF(Szeptember!A72="","",Szeptember!A72)</f>
        <v>Különórák, edzések</v>
      </c>
      <c r="B72" s="42"/>
      <c r="C72" s="25"/>
      <c r="D72" s="42"/>
      <c r="E72" s="25" t="str">
        <f aca="false">IF(D72=0,"",D72-B72)</f>
        <v/>
      </c>
      <c r="F72" s="30" t="str">
        <f aca="false">IF(OR($C$118=0,B72=""),"",B72/$C$118)</f>
        <v/>
      </c>
    </row>
    <row r="73" customFormat="false" ht="15" hidden="false" customHeight="false" outlineLevel="0" collapsed="false">
      <c r="A73" s="41" t="str">
        <f aca="false">IF(Szeptember!A73="","",Szeptember!A73)</f>
        <v>Magánóra, korrepetálás</v>
      </c>
      <c r="B73" s="42"/>
      <c r="C73" s="25"/>
      <c r="D73" s="42"/>
      <c r="E73" s="25" t="str">
        <f aca="false">IF(D73=0,"",D73-B73)</f>
        <v/>
      </c>
      <c r="F73" s="30" t="str">
        <f aca="false">IF(OR($C$118=0,B73=""),"",B73/$C$118)</f>
        <v/>
      </c>
    </row>
    <row r="74" customFormat="false" ht="15" hidden="false" customHeight="false" outlineLevel="0" collapsed="false">
      <c r="A74" s="41" t="str">
        <f aca="false">IF(Szeptember!A74="","",Szeptember!A74)</f>
        <v>Zsebpénz</v>
      </c>
      <c r="B74" s="42"/>
      <c r="C74" s="25"/>
      <c r="D74" s="42"/>
      <c r="E74" s="25" t="str">
        <f aca="false">IF(D74=0,"",D74-B74)</f>
        <v/>
      </c>
      <c r="F74" s="30" t="str">
        <f aca="false">IF(OR($C$118=0,B74=""),"",B74/$C$118)</f>
        <v/>
      </c>
    </row>
    <row r="75" customFormat="false" ht="15" hidden="false" customHeight="false" outlineLevel="0" collapsed="false">
      <c r="A75" s="41" t="str">
        <f aca="false">IF(Szeptember!A75="","",Szeptember!A75)</f>
        <v>Játékok, szórakozás</v>
      </c>
      <c r="B75" s="42"/>
      <c r="C75" s="25"/>
      <c r="D75" s="42"/>
      <c r="E75" s="25" t="str">
        <f aca="false">IF(D75=0,"",D75-B75)</f>
        <v/>
      </c>
      <c r="F75" s="30" t="str">
        <f aca="false">IF(OR($C$118=0,B75=""),"",B75/$C$118)</f>
        <v/>
      </c>
    </row>
    <row r="76" customFormat="false" ht="15" hidden="false" customHeight="false" outlineLevel="0" collapsed="false">
      <c r="A76" s="41" t="str">
        <f aca="false">IF(Szeptember!A76="","",Szeptember!A76)</f>
        <v/>
      </c>
      <c r="B76" s="42"/>
      <c r="C76" s="25"/>
      <c r="D76" s="42"/>
      <c r="E76" s="25" t="str">
        <f aca="false">IF(D76=0,"",D76-B76)</f>
        <v/>
      </c>
      <c r="F76" s="30" t="str">
        <f aca="false">IF(OR($C$118=0,B76=""),"",B76/$C$118)</f>
        <v/>
      </c>
    </row>
    <row r="77" customFormat="false" ht="15" hidden="false" customHeight="false" outlineLevel="0" collapsed="false">
      <c r="A77" s="41" t="str">
        <f aca="false">IF(Szeptember!A77="","",Szeptember!A77)</f>
        <v/>
      </c>
      <c r="B77" s="42"/>
      <c r="C77" s="25"/>
      <c r="D77" s="42"/>
      <c r="E77" s="25" t="str">
        <f aca="false">IF(D77=0,"",D77-B77)</f>
        <v/>
      </c>
      <c r="F77" s="30" t="str">
        <f aca="false">IF(OR($C$118=0,B77=""),"",B77/$C$118)</f>
        <v/>
      </c>
    </row>
    <row r="78" customFormat="false" ht="15" hidden="false" customHeight="false" outlineLevel="0" collapsed="false">
      <c r="A78" s="41" t="str">
        <f aca="false">IF(Szeptember!A78="","",Szeptember!A78)</f>
        <v/>
      </c>
      <c r="B78" s="42"/>
      <c r="C78" s="25"/>
      <c r="D78" s="42"/>
      <c r="E78" s="25" t="str">
        <f aca="false">IF(D78=0,"",D78-B78)</f>
        <v/>
      </c>
      <c r="F78" s="30" t="str">
        <f aca="false">IF(OR($C$118=0,B78=""),"",B78/$C$118)</f>
        <v/>
      </c>
    </row>
    <row r="79" customFormat="false" ht="15" hidden="false" customHeight="false" outlineLevel="0" collapsed="false">
      <c r="A79" s="43" t="s">
        <v>119</v>
      </c>
      <c r="B79" s="35"/>
      <c r="C79" s="44" t="n">
        <f aca="false">SUM(B68:B78)</f>
        <v>0</v>
      </c>
      <c r="D79" s="44" t="n">
        <f aca="false">SUM(D68:D78)</f>
        <v>0</v>
      </c>
      <c r="E79" s="44" t="str">
        <f aca="false">IF(D79=0,"",D79-C79)</f>
        <v/>
      </c>
      <c r="F79" s="45" t="str">
        <f aca="false">IF(OR($C$118=0,C79=""),"",C79/$C$118)</f>
        <v/>
      </c>
    </row>
    <row r="80" customFormat="false" ht="15" hidden="false" customHeight="false" outlineLevel="0" collapsed="false">
      <c r="A80" s="39" t="s">
        <v>48</v>
      </c>
      <c r="B80" s="40"/>
      <c r="C80" s="40"/>
      <c r="D80" s="40"/>
      <c r="E80" s="40"/>
      <c r="F80" s="40"/>
    </row>
    <row r="81" customFormat="false" ht="15" hidden="false" customHeight="false" outlineLevel="0" collapsed="false">
      <c r="A81" s="41" t="str">
        <f aca="false">IF(Szeptember!A81="","",Szeptember!A81)</f>
        <v>Ruha</v>
      </c>
      <c r="B81" s="42"/>
      <c r="C81" s="25"/>
      <c r="D81" s="42"/>
      <c r="E81" s="25" t="str">
        <f aca="false">IF(D81=0,"",D81-B81)</f>
        <v/>
      </c>
      <c r="F81" s="30" t="str">
        <f aca="false">IF(OR($C$118=0,B81=""),"",B81/$C$118)</f>
        <v/>
      </c>
    </row>
    <row r="82" customFormat="false" ht="15" hidden="false" customHeight="false" outlineLevel="0" collapsed="false">
      <c r="A82" s="41" t="str">
        <f aca="false">IF(Szeptember!A82="","",Szeptember!A82)</f>
        <v>Cipő</v>
      </c>
      <c r="B82" s="42"/>
      <c r="C82" s="25"/>
      <c r="D82" s="42"/>
      <c r="E82" s="25" t="str">
        <f aca="false">IF(D82=0,"",D82-B82)</f>
        <v/>
      </c>
      <c r="F82" s="30" t="str">
        <f aca="false">IF(OR($C$118=0,B82=""),"",B82/$C$118)</f>
        <v/>
      </c>
    </row>
    <row r="83" customFormat="false" ht="15" hidden="false" customHeight="false" outlineLevel="0" collapsed="false">
      <c r="A83" s="41" t="str">
        <f aca="false">IF(Szeptember!A83="","",Szeptember!A83)</f>
        <v>Kiegészítők (táska, ékszer, óra)</v>
      </c>
      <c r="B83" s="42"/>
      <c r="C83" s="25"/>
      <c r="D83" s="42"/>
      <c r="E83" s="25" t="str">
        <f aca="false">IF(D83=0,"",D83-B83)</f>
        <v/>
      </c>
      <c r="F83" s="30" t="str">
        <f aca="false">IF(OR($C$118=0,B83=""),"",B83/$C$118)</f>
        <v/>
      </c>
    </row>
    <row r="84" customFormat="false" ht="15" hidden="false" customHeight="false" outlineLevel="0" collapsed="false">
      <c r="A84" s="41" t="str">
        <f aca="false">IF(Szeptember!A84="","",Szeptember!A84)</f>
        <v/>
      </c>
      <c r="B84" s="42"/>
      <c r="C84" s="25"/>
      <c r="D84" s="42"/>
      <c r="E84" s="25" t="str">
        <f aca="false">IF(D84=0,"",D84-B84)</f>
        <v/>
      </c>
      <c r="F84" s="30" t="str">
        <f aca="false">IF(OR($C$118=0,B84=""),"",B84/$C$118)</f>
        <v/>
      </c>
    </row>
    <row r="85" customFormat="false" ht="15" hidden="false" customHeight="false" outlineLevel="0" collapsed="false">
      <c r="A85" s="43" t="s">
        <v>123</v>
      </c>
      <c r="B85" s="35"/>
      <c r="C85" s="44" t="n">
        <f aca="false">SUM(B81:B84)</f>
        <v>0</v>
      </c>
      <c r="D85" s="44" t="n">
        <f aca="false">SUM(D81:D84)</f>
        <v>0</v>
      </c>
      <c r="E85" s="44" t="str">
        <f aca="false">IF(D85=0,"",D85-C85)</f>
        <v/>
      </c>
      <c r="F85" s="45" t="str">
        <f aca="false">IF(OR($C$118=0,C85=""),"",C85/$C$118)</f>
        <v/>
      </c>
    </row>
    <row r="86" customFormat="false" ht="15" hidden="false" customHeight="false" outlineLevel="0" collapsed="false">
      <c r="A86" s="39" t="s">
        <v>49</v>
      </c>
      <c r="B86" s="40"/>
      <c r="C86" s="40"/>
      <c r="D86" s="40"/>
      <c r="E86" s="40"/>
      <c r="F86" s="40"/>
    </row>
    <row r="87" customFormat="false" ht="15" hidden="false" customHeight="false" outlineLevel="0" collapsed="false">
      <c r="A87" s="41" t="str">
        <f aca="false">IF(Szeptember!A87="","",Szeptember!A87)</f>
        <v>Fodrász, borbély</v>
      </c>
      <c r="B87" s="42"/>
      <c r="C87" s="25"/>
      <c r="D87" s="42"/>
      <c r="E87" s="25" t="str">
        <f aca="false">IF(D87=0,"",D87-B87)</f>
        <v/>
      </c>
      <c r="F87" s="30" t="str">
        <f aca="false">IF(OR($C$118=0,B87=""),"",B87/$C$118)</f>
        <v/>
      </c>
    </row>
    <row r="88" customFormat="false" ht="15" hidden="false" customHeight="false" outlineLevel="0" collapsed="false">
      <c r="A88" s="41" t="str">
        <f aca="false">IF(Szeptember!A88="","",Szeptember!A88)</f>
        <v>Kozmetikus, manikűr, pedikűr</v>
      </c>
      <c r="B88" s="42"/>
      <c r="C88" s="25"/>
      <c r="D88" s="42"/>
      <c r="E88" s="25" t="str">
        <f aca="false">IF(D88=0,"",D88-B88)</f>
        <v/>
      </c>
      <c r="F88" s="30" t="str">
        <f aca="false">IF(OR($C$118=0,B88=""),"",B88/$C$118)</f>
        <v/>
      </c>
    </row>
    <row r="89" customFormat="false" ht="15" hidden="false" customHeight="false" outlineLevel="0" collapsed="false">
      <c r="A89" s="41" t="str">
        <f aca="false">IF(Szeptember!A89="","",Szeptember!A89)</f>
        <v>Kozmetikumok, parfüm</v>
      </c>
      <c r="B89" s="42"/>
      <c r="C89" s="25"/>
      <c r="D89" s="42"/>
      <c r="E89" s="25" t="str">
        <f aca="false">IF(D89=0,"",D89-B89)</f>
        <v/>
      </c>
      <c r="F89" s="30" t="str">
        <f aca="false">IF(OR($C$118=0,B89=""),"",B89/$C$118)</f>
        <v/>
      </c>
    </row>
    <row r="90" customFormat="false" ht="15" hidden="false" customHeight="false" outlineLevel="0" collapsed="false">
      <c r="A90" s="41" t="str">
        <f aca="false">IF(Szeptember!A90="","",Szeptember!A90)</f>
        <v>Edzés, sport, bérlet</v>
      </c>
      <c r="B90" s="42"/>
      <c r="C90" s="25"/>
      <c r="D90" s="42"/>
      <c r="E90" s="25" t="str">
        <f aca="false">IF(D90=0,"",D90-B90)</f>
        <v/>
      </c>
      <c r="F90" s="30" t="str">
        <f aca="false">IF(OR($C$118=0,B90=""),"",B90/$C$118)</f>
        <v/>
      </c>
    </row>
    <row r="91" customFormat="false" ht="15" hidden="false" customHeight="false" outlineLevel="0" collapsed="false">
      <c r="A91" s="41" t="str">
        <f aca="false">IF(Szeptember!A91="","",Szeptember!A91)</f>
        <v>Gyógyszer, vitamin</v>
      </c>
      <c r="B91" s="42"/>
      <c r="C91" s="25"/>
      <c r="D91" s="42"/>
      <c r="E91" s="25" t="str">
        <f aca="false">IF(D91=0,"",D91-B91)</f>
        <v/>
      </c>
      <c r="F91" s="30" t="str">
        <f aca="false">IF(OR($C$118=0,B91=""),"",B91/$C$118)</f>
        <v/>
      </c>
    </row>
    <row r="92" customFormat="false" ht="15" hidden="false" customHeight="false" outlineLevel="0" collapsed="false">
      <c r="A92" s="41" t="str">
        <f aca="false">IF(Szeptember!A92="","",Szeptember!A92)</f>
        <v>Orvos, fogorvos, magánrendelés</v>
      </c>
      <c r="B92" s="42"/>
      <c r="C92" s="25"/>
      <c r="D92" s="42"/>
      <c r="E92" s="25" t="str">
        <f aca="false">IF(D92=0,"",D92-B92)</f>
        <v/>
      </c>
      <c r="F92" s="30" t="str">
        <f aca="false">IF(OR($C$118=0,B92=""),"",B92/$C$118)</f>
        <v/>
      </c>
    </row>
    <row r="93" customFormat="false" ht="15" hidden="false" customHeight="false" outlineLevel="0" collapsed="false">
      <c r="A93" s="41" t="str">
        <f aca="false">IF(Szeptember!A93="","",Szeptember!A93)</f>
        <v/>
      </c>
      <c r="B93" s="42"/>
      <c r="C93" s="25"/>
      <c r="D93" s="42"/>
      <c r="E93" s="25" t="str">
        <f aca="false">IF(D93=0,"",D93-B93)</f>
        <v/>
      </c>
      <c r="F93" s="30" t="str">
        <f aca="false">IF(OR($C$118=0,B93=""),"",B93/$C$118)</f>
        <v/>
      </c>
    </row>
    <row r="94" customFormat="false" ht="15" hidden="false" customHeight="false" outlineLevel="0" collapsed="false">
      <c r="A94" s="43" t="s">
        <v>130</v>
      </c>
      <c r="B94" s="35"/>
      <c r="C94" s="44" t="n">
        <f aca="false">SUM(B87:B93)</f>
        <v>0</v>
      </c>
      <c r="D94" s="44" t="n">
        <f aca="false">SUM(D87:D93)</f>
        <v>0</v>
      </c>
      <c r="E94" s="44" t="str">
        <f aca="false">IF(D94=0,"",D94-C94)</f>
        <v/>
      </c>
      <c r="F94" s="45" t="str">
        <f aca="false">IF(OR($C$118=0,C94=""),"",C94/$C$118)</f>
        <v/>
      </c>
    </row>
    <row r="95" customFormat="false" ht="15" hidden="false" customHeight="false" outlineLevel="0" collapsed="false">
      <c r="A95" s="39" t="s">
        <v>50</v>
      </c>
      <c r="B95" s="40"/>
      <c r="C95" s="40"/>
      <c r="D95" s="40"/>
      <c r="E95" s="40"/>
      <c r="F95" s="40"/>
    </row>
    <row r="96" customFormat="false" ht="15" hidden="false" customHeight="false" outlineLevel="0" collapsed="false">
      <c r="A96" s="41" t="str">
        <f aca="false">IF(Szeptember!A96="","",Szeptember!A96)</f>
        <v>Cigaretta, dohány</v>
      </c>
      <c r="B96" s="42"/>
      <c r="C96" s="25"/>
      <c r="D96" s="42"/>
      <c r="E96" s="25" t="str">
        <f aca="false">IF(D96=0,"",D96-B96)</f>
        <v/>
      </c>
      <c r="F96" s="30" t="str">
        <f aca="false">IF(OR($C$118=0,B96=""),"",B96/$C$118)</f>
        <v/>
      </c>
    </row>
    <row r="97" customFormat="false" ht="15" hidden="false" customHeight="false" outlineLevel="0" collapsed="false">
      <c r="A97" s="41" t="str">
        <f aca="false">IF(Szeptember!A97="","",Szeptember!A97)</f>
        <v>E-cigaretta, hevített dohánytermék</v>
      </c>
      <c r="B97" s="42"/>
      <c r="C97" s="25"/>
      <c r="D97" s="42"/>
      <c r="E97" s="25" t="str">
        <f aca="false">IF(D97=0,"",D97-B97)</f>
        <v/>
      </c>
      <c r="F97" s="30" t="str">
        <f aca="false">IF(OR($C$118=0,B97=""),"",B97/$C$118)</f>
        <v/>
      </c>
    </row>
    <row r="98" customFormat="false" ht="15" hidden="false" customHeight="false" outlineLevel="0" collapsed="false">
      <c r="A98" s="41" t="str">
        <f aca="false">IF(Szeptember!A98="","",Szeptember!A98)</f>
        <v/>
      </c>
      <c r="B98" s="42"/>
      <c r="C98" s="25"/>
      <c r="D98" s="42"/>
      <c r="E98" s="25" t="str">
        <f aca="false">IF(D98=0,"",D98-B98)</f>
        <v/>
      </c>
      <c r="F98" s="30" t="str">
        <f aca="false">IF(OR($C$118=0,B98=""),"",B98/$C$118)</f>
        <v/>
      </c>
    </row>
    <row r="99" customFormat="false" ht="15" hidden="false" customHeight="false" outlineLevel="0" collapsed="false">
      <c r="A99" s="43" t="s">
        <v>133</v>
      </c>
      <c r="B99" s="35"/>
      <c r="C99" s="44" t="n">
        <f aca="false">SUM(B96:B98)</f>
        <v>0</v>
      </c>
      <c r="D99" s="44" t="n">
        <f aca="false">SUM(D96:D98)</f>
        <v>0</v>
      </c>
      <c r="E99" s="44" t="str">
        <f aca="false">IF(D99=0,"",D99-C99)</f>
        <v/>
      </c>
      <c r="F99" s="45" t="str">
        <f aca="false">IF(OR($C$118=0,C99=""),"",C99/$C$118)</f>
        <v/>
      </c>
    </row>
    <row r="100" customFormat="false" ht="15" hidden="false" customHeight="false" outlineLevel="0" collapsed="false">
      <c r="A100" s="39" t="s">
        <v>51</v>
      </c>
      <c r="B100" s="40"/>
      <c r="C100" s="40"/>
      <c r="D100" s="40"/>
      <c r="E100" s="40"/>
      <c r="F100" s="40"/>
    </row>
    <row r="101" customFormat="false" ht="15" hidden="false" customHeight="false" outlineLevel="0" collapsed="false">
      <c r="A101" s="41" t="str">
        <f aca="false">IF(Szeptember!A101="","",Szeptember!A101)</f>
        <v>Állateledel, jutalomfalat</v>
      </c>
      <c r="B101" s="42"/>
      <c r="C101" s="25"/>
      <c r="D101" s="42"/>
      <c r="E101" s="25" t="str">
        <f aca="false">IF(D101=0,"",D101-B101)</f>
        <v/>
      </c>
      <c r="F101" s="30" t="str">
        <f aca="false">IF(OR($C$118=0,B101=""),"",B101/$C$118)</f>
        <v/>
      </c>
    </row>
    <row r="102" customFormat="false" ht="15" hidden="false" customHeight="false" outlineLevel="0" collapsed="false">
      <c r="A102" s="41" t="str">
        <f aca="false">IF(Szeptember!A102="","",Szeptember!A102)</f>
        <v>Állatorvos, oltások, gyógyszer</v>
      </c>
      <c r="B102" s="42"/>
      <c r="C102" s="25"/>
      <c r="D102" s="42"/>
      <c r="E102" s="25" t="str">
        <f aca="false">IF(D102=0,"",D102-B102)</f>
        <v/>
      </c>
      <c r="F102" s="30" t="str">
        <f aca="false">IF(OR($C$118=0,B102=""),"",B102/$C$118)</f>
        <v/>
      </c>
    </row>
    <row r="103" customFormat="false" ht="15" hidden="false" customHeight="false" outlineLevel="0" collapsed="false">
      <c r="A103" s="41" t="str">
        <f aca="false">IF(Szeptember!A103="","",Szeptember!A103)</f>
        <v>Felszerelés, alom, játékok</v>
      </c>
      <c r="B103" s="42"/>
      <c r="C103" s="25"/>
      <c r="D103" s="42"/>
      <c r="E103" s="25" t="str">
        <f aca="false">IF(D103=0,"",D103-B103)</f>
        <v/>
      </c>
      <c r="F103" s="30" t="str">
        <f aca="false">IF(OR($C$118=0,B103=""),"",B103/$C$118)</f>
        <v/>
      </c>
    </row>
    <row r="104" customFormat="false" ht="15" hidden="false" customHeight="false" outlineLevel="0" collapsed="false">
      <c r="A104" s="41" t="str">
        <f aca="false">IF(Szeptember!A104="","",Szeptember!A104)</f>
        <v>Kisállat-kozmetika, panzió, kutyaiskola</v>
      </c>
      <c r="B104" s="42"/>
      <c r="C104" s="25"/>
      <c r="D104" s="42"/>
      <c r="E104" s="25" t="str">
        <f aca="false">IF(D104=0,"",D104-B104)</f>
        <v/>
      </c>
      <c r="F104" s="30" t="str">
        <f aca="false">IF(OR($C$118=0,B104=""),"",B104/$C$118)</f>
        <v/>
      </c>
    </row>
    <row r="105" customFormat="false" ht="15" hidden="false" customHeight="false" outlineLevel="0" collapsed="false">
      <c r="A105" s="41" t="str">
        <f aca="false">IF(Szeptember!A105="","",Szeptember!A105)</f>
        <v/>
      </c>
      <c r="B105" s="42"/>
      <c r="C105" s="25"/>
      <c r="D105" s="42"/>
      <c r="E105" s="25" t="str">
        <f aca="false">IF(D105=0,"",D105-B105)</f>
        <v/>
      </c>
      <c r="F105" s="30" t="str">
        <f aca="false">IF(OR($C$118=0,B105=""),"",B105/$C$118)</f>
        <v/>
      </c>
    </row>
    <row r="106" customFormat="false" ht="15" hidden="false" customHeight="false" outlineLevel="0" collapsed="false">
      <c r="A106" s="43" t="s">
        <v>138</v>
      </c>
      <c r="B106" s="35"/>
      <c r="C106" s="44" t="n">
        <f aca="false">SUM(B101:B105)</f>
        <v>0</v>
      </c>
      <c r="D106" s="44" t="n">
        <f aca="false">SUM(D101:D105)</f>
        <v>0</v>
      </c>
      <c r="E106" s="44" t="str">
        <f aca="false">IF(D106=0,"",D106-C106)</f>
        <v/>
      </c>
      <c r="F106" s="45" t="str">
        <f aca="false">IF(OR($C$118=0,C106=""),"",C106/$C$118)</f>
        <v/>
      </c>
    </row>
    <row r="107" customFormat="false" ht="15" hidden="false" customHeight="false" outlineLevel="0" collapsed="false">
      <c r="A107" s="39" t="s">
        <v>52</v>
      </c>
      <c r="B107" s="40"/>
      <c r="C107" s="40"/>
      <c r="D107" s="40"/>
      <c r="E107" s="40"/>
      <c r="F107" s="40"/>
    </row>
    <row r="108" customFormat="false" ht="15" hidden="false" customHeight="false" outlineLevel="0" collapsed="false">
      <c r="A108" s="41" t="str">
        <f aca="false">IF(Szeptember!A108="","",Szeptember!A108)</f>
        <v>Hobbi</v>
      </c>
      <c r="B108" s="42"/>
      <c r="C108" s="25"/>
      <c r="D108" s="42"/>
      <c r="E108" s="25" t="str">
        <f aca="false">IF(D108=0,"",D108-B108)</f>
        <v/>
      </c>
      <c r="F108" s="30" t="str">
        <f aca="false">IF(OR($C$118=0,B108=""),"",B108/$C$118)</f>
        <v/>
      </c>
    </row>
    <row r="109" customFormat="false" ht="15" hidden="false" customHeight="false" outlineLevel="0" collapsed="false">
      <c r="A109" s="41" t="str">
        <f aca="false">IF(Szeptember!A109="","",Szeptember!A109)</f>
        <v>Szórakozás (mozi, színház, koncert, étterem)</v>
      </c>
      <c r="B109" s="42"/>
      <c r="C109" s="25"/>
      <c r="D109" s="42"/>
      <c r="E109" s="25" t="str">
        <f aca="false">IF(D109=0,"",D109-B109)</f>
        <v/>
      </c>
      <c r="F109" s="30" t="str">
        <f aca="false">IF(OR($C$118=0,B109=""),"",B109/$C$118)</f>
        <v/>
      </c>
    </row>
    <row r="110" customFormat="false" ht="15" hidden="false" customHeight="false" outlineLevel="0" collapsed="false">
      <c r="A110" s="41" t="str">
        <f aca="false">IF(Szeptember!A110="","",Szeptember!A110)</f>
        <v>Nyaralás, utazás</v>
      </c>
      <c r="B110" s="42"/>
      <c r="C110" s="25"/>
      <c r="D110" s="42"/>
      <c r="E110" s="25" t="str">
        <f aca="false">IF(D110=0,"",D110-B110)</f>
        <v/>
      </c>
      <c r="F110" s="30" t="str">
        <f aca="false">IF(OR($C$118=0,B110=""),"",B110/$C$118)</f>
        <v/>
      </c>
    </row>
    <row r="111" customFormat="false" ht="15" hidden="false" customHeight="false" outlineLevel="0" collapsed="false">
      <c r="A111" s="41" t="str">
        <f aca="false">IF(Szeptember!A111="","",Szeptember!A111)</f>
        <v/>
      </c>
      <c r="B111" s="42"/>
      <c r="C111" s="25"/>
      <c r="D111" s="42"/>
      <c r="E111" s="25" t="str">
        <f aca="false">IF(D111=0,"",D111-B111)</f>
        <v/>
      </c>
      <c r="F111" s="30" t="str">
        <f aca="false">IF(OR($C$118=0,B111=""),"",B111/$C$118)</f>
        <v/>
      </c>
    </row>
    <row r="112" customFormat="false" ht="15" hidden="false" customHeight="false" outlineLevel="0" collapsed="false">
      <c r="A112" s="43" t="s">
        <v>142</v>
      </c>
      <c r="B112" s="35"/>
      <c r="C112" s="44" t="n">
        <f aca="false">SUM(B108:B111)</f>
        <v>0</v>
      </c>
      <c r="D112" s="44" t="n">
        <f aca="false">SUM(D108:D111)</f>
        <v>0</v>
      </c>
      <c r="E112" s="44" t="str">
        <f aca="false">IF(D112=0,"",D112-C112)</f>
        <v/>
      </c>
      <c r="F112" s="45" t="str">
        <f aca="false">IF(OR($C$118=0,C112=""),"",C112/$C$118)</f>
        <v/>
      </c>
    </row>
    <row r="113" customFormat="false" ht="15" hidden="false" customHeight="false" outlineLevel="0" collapsed="false">
      <c r="A113" s="39" t="s">
        <v>53</v>
      </c>
      <c r="B113" s="40"/>
      <c r="C113" s="40"/>
      <c r="D113" s="40"/>
      <c r="E113" s="40"/>
      <c r="F113" s="40"/>
    </row>
    <row r="114" customFormat="false" ht="15" hidden="false" customHeight="false" outlineLevel="0" collapsed="false">
      <c r="A114" s="41" t="str">
        <f aca="false">IF(Szeptember!A114="","",Szeptember!A114)</f>
        <v>Ünnepek, ajándékok</v>
      </c>
      <c r="B114" s="42"/>
      <c r="C114" s="25"/>
      <c r="D114" s="42"/>
      <c r="E114" s="25" t="str">
        <f aca="false">IF(D114=0,"",D114-B114)</f>
        <v/>
      </c>
      <c r="F114" s="30" t="str">
        <f aca="false">IF(OR($C$118=0,B114=""),"",B114/$C$118)</f>
        <v/>
      </c>
    </row>
    <row r="115" customFormat="false" ht="15" hidden="false" customHeight="false" outlineLevel="0" collapsed="false">
      <c r="A115" s="41" t="str">
        <f aca="false">IF(Szeptember!A115="","",Szeptember!A115)</f>
        <v>Egyéb kiadás</v>
      </c>
      <c r="B115" s="42"/>
      <c r="C115" s="25"/>
      <c r="D115" s="42"/>
      <c r="E115" s="25" t="str">
        <f aca="false">IF(D115=0,"",D115-B115)</f>
        <v/>
      </c>
      <c r="F115" s="30" t="str">
        <f aca="false">IF(OR($C$118=0,B115=""),"",B115/$C$118)</f>
        <v/>
      </c>
    </row>
    <row r="116" customFormat="false" ht="15" hidden="false" customHeight="false" outlineLevel="0" collapsed="false">
      <c r="A116" s="41" t="str">
        <f aca="false">IF(Szeptember!A116="","",Szeptember!A116)</f>
        <v/>
      </c>
      <c r="B116" s="42"/>
      <c r="C116" s="25"/>
      <c r="D116" s="42"/>
      <c r="E116" s="25" t="str">
        <f aca="false">IF(D116=0,"",D116-B116)</f>
        <v/>
      </c>
      <c r="F116" s="30" t="str">
        <f aca="false">IF(OR($C$118=0,B116=""),"",B116/$C$118)</f>
        <v/>
      </c>
    </row>
    <row r="117" customFormat="false" ht="15" hidden="false" customHeight="false" outlineLevel="0" collapsed="false">
      <c r="A117" s="43" t="s">
        <v>145</v>
      </c>
      <c r="B117" s="35"/>
      <c r="C117" s="44" t="n">
        <f aca="false">SUM(B114:B116)</f>
        <v>0</v>
      </c>
      <c r="D117" s="44" t="n">
        <f aca="false">SUM(D114:D116)</f>
        <v>0</v>
      </c>
      <c r="E117" s="44" t="str">
        <f aca="false">IF(D117=0,"",D117-C117)</f>
        <v/>
      </c>
      <c r="F117" s="45" t="str">
        <f aca="false">IF(OR($C$118=0,C117=""),"",C117/$C$118)</f>
        <v/>
      </c>
    </row>
    <row r="118" customFormat="false" ht="15" hidden="false" customHeight="false" outlineLevel="0" collapsed="false">
      <c r="A118" s="33" t="s">
        <v>146</v>
      </c>
      <c r="B118" s="33"/>
      <c r="C118" s="50" t="n">
        <f aca="false">C35+C42+C52+C66+C79+C85+C94+C99+C106+C112+C117</f>
        <v>0</v>
      </c>
      <c r="D118" s="50" t="n">
        <f aca="false">D35+D42+D52+D66+D79+D85+D94+D99+D106+D112+D117</f>
        <v>0</v>
      </c>
      <c r="E118" s="50" t="str">
        <f aca="false">IF(D118=0,"",D118-C118)</f>
        <v/>
      </c>
      <c r="F118" s="51" t="str">
        <f aca="false">IF($C$16=0,"",C118/$C$16)</f>
        <v/>
      </c>
    </row>
    <row r="119" customFormat="false" ht="15" hidden="false" customHeight="false" outlineLevel="0" collapsed="false">
      <c r="A119" s="8" t="s">
        <v>147</v>
      </c>
      <c r="B119" s="8"/>
      <c r="C119" s="8" t="s">
        <v>148</v>
      </c>
      <c r="D119" s="8" t="s">
        <v>149</v>
      </c>
      <c r="E119" s="8"/>
      <c r="F119" s="8" t="s">
        <v>150</v>
      </c>
    </row>
    <row r="120" customFormat="false" ht="15" hidden="false" customHeight="false" outlineLevel="0" collapsed="false">
      <c r="A120" s="13" t="s">
        <v>151</v>
      </c>
      <c r="B120" s="52"/>
      <c r="C120" s="53" t="n">
        <f aca="false">C16</f>
        <v>0</v>
      </c>
      <c r="D120" s="53" t="n">
        <f aca="false">D16</f>
        <v>0</v>
      </c>
      <c r="E120" s="52"/>
      <c r="F120" s="54" t="str">
        <f aca="false">IF($C$120=0,"",C120/$C$120)</f>
        <v/>
      </c>
    </row>
    <row r="121" customFormat="false" ht="15" hidden="false" customHeight="false" outlineLevel="0" collapsed="false">
      <c r="A121" s="17" t="s">
        <v>152</v>
      </c>
      <c r="B121" s="52"/>
      <c r="C121" s="53" t="n">
        <f aca="false">C28</f>
        <v>0</v>
      </c>
      <c r="D121" s="53" t="n">
        <f aca="false">D28</f>
        <v>0</v>
      </c>
      <c r="E121" s="52"/>
      <c r="F121" s="54" t="str">
        <f aca="false">IF($C$120=0,"",C121/$C$120)</f>
        <v/>
      </c>
    </row>
    <row r="122" customFormat="false" ht="15" hidden="false" customHeight="false" outlineLevel="0" collapsed="false">
      <c r="A122" s="18" t="s">
        <v>153</v>
      </c>
      <c r="B122" s="52"/>
      <c r="C122" s="53" t="n">
        <f aca="false">C118</f>
        <v>0</v>
      </c>
      <c r="D122" s="53" t="n">
        <f aca="false">D118</f>
        <v>0</v>
      </c>
      <c r="E122" s="52"/>
      <c r="F122" s="54" t="str">
        <f aca="false">IF($C$120=0,"",C122/$C$120)</f>
        <v/>
      </c>
    </row>
    <row r="123" customFormat="false" ht="15" hidden="false" customHeight="false" outlineLevel="0" collapsed="false">
      <c r="A123" s="33" t="s">
        <v>154</v>
      </c>
      <c r="B123" s="33"/>
      <c r="C123" s="50" t="n">
        <f aca="false">C121+C122</f>
        <v>0</v>
      </c>
      <c r="D123" s="50" t="n">
        <f aca="false">D121+D122</f>
        <v>0</v>
      </c>
      <c r="E123" s="33"/>
      <c r="F123" s="51" t="str">
        <f aca="false">IF($C$120=0,"",C123/$C$120)</f>
        <v/>
      </c>
    </row>
    <row r="124" customFormat="false" ht="15" hidden="false" customHeight="false" outlineLevel="0" collapsed="false">
      <c r="A124" s="19" t="s">
        <v>155</v>
      </c>
      <c r="B124" s="19"/>
      <c r="C124" s="20" t="n">
        <f aca="false">C120-C123</f>
        <v>0</v>
      </c>
      <c r="D124" s="20" t="n">
        <f aca="false">D120-D123</f>
        <v>0</v>
      </c>
      <c r="E124" s="19"/>
      <c r="F124" s="55" t="str">
        <f aca="false">IF($C$120=0,"",C124/$C$120)</f>
        <v/>
      </c>
    </row>
    <row r="125" customFormat="false" ht="15" hidden="false" customHeight="false" outlineLevel="0" collapsed="false">
      <c r="A125" s="24" t="s">
        <v>156</v>
      </c>
      <c r="B125" s="24"/>
      <c r="C125" s="23" t="str">
        <f aca="false">IF(C120=0,"–",C121/C120)</f>
        <v>–</v>
      </c>
      <c r="D125" s="23" t="str">
        <f aca="false">IF(D120=0,"–",D121/D120)</f>
        <v>–</v>
      </c>
      <c r="E125" s="24"/>
      <c r="F125" s="24"/>
    </row>
    <row r="126" customFormat="false" ht="15" hidden="false" customHeight="false" outlineLevel="0" collapsed="false">
      <c r="A126" s="36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7" t="str">
        <f aca="false">" 💰 HAVI KÖLTSÉGVETÉS — "&amp;UPPER("November")&amp;" "&amp;'📊 Éves Összesítő'!$B$2</f>
        <v> 💰 HAVI KÖLTSÉGVETÉS — NOVEMBER 2026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37" t="s">
        <v>56</v>
      </c>
      <c r="B2" s="38" t="s">
        <v>57</v>
      </c>
      <c r="C2" s="38" t="s">
        <v>58</v>
      </c>
      <c r="D2" s="38" t="s">
        <v>59</v>
      </c>
      <c r="E2" s="38" t="s">
        <v>60</v>
      </c>
      <c r="F2" s="38" t="s">
        <v>33</v>
      </c>
    </row>
    <row r="3" customFormat="false" ht="18" hidden="false" customHeight="true" outlineLevel="0" collapsed="false">
      <c r="A3" s="26" t="s">
        <v>61</v>
      </c>
      <c r="B3" s="26"/>
      <c r="C3" s="26"/>
      <c r="D3" s="26"/>
      <c r="E3" s="26"/>
      <c r="F3" s="26"/>
    </row>
    <row r="4" customFormat="false" ht="15" hidden="false" customHeight="false" outlineLevel="0" collapsed="false">
      <c r="A4" s="39" t="s">
        <v>62</v>
      </c>
      <c r="B4" s="40"/>
      <c r="C4" s="40"/>
      <c r="D4" s="40"/>
      <c r="E4" s="40"/>
      <c r="F4" s="40"/>
    </row>
    <row r="5" customFormat="false" ht="15" hidden="false" customHeight="false" outlineLevel="0" collapsed="false">
      <c r="A5" s="41" t="str">
        <f aca="false">IF(Október!A5="","",Október!A5)</f>
        <v>Munkabér 1 (pl. saját)</v>
      </c>
      <c r="B5" s="42"/>
      <c r="C5" s="25"/>
      <c r="D5" s="42"/>
      <c r="E5" s="25" t="str">
        <f aca="false">IF(D5=0,"",B5-D5)</f>
        <v/>
      </c>
      <c r="F5" s="30" t="str">
        <f aca="false">IF(OR($C$16=0,B5=""),"",B5/$C$16)</f>
        <v/>
      </c>
    </row>
    <row r="6" customFormat="false" ht="15" hidden="false" customHeight="false" outlineLevel="0" collapsed="false">
      <c r="A6" s="41" t="str">
        <f aca="false">IF(Október!A6="","",Október!A6)</f>
        <v>Munkabér 2 (pl. partner)</v>
      </c>
      <c r="B6" s="42"/>
      <c r="C6" s="25"/>
      <c r="D6" s="42"/>
      <c r="E6" s="25" t="str">
        <f aca="false">IF(D6=0,"",B6-D6)</f>
        <v/>
      </c>
      <c r="F6" s="30" t="str">
        <f aca="false">IF(OR($C$16=0,B6=""),"",B6/$C$16)</f>
        <v/>
      </c>
    </row>
    <row r="7" customFormat="false" ht="15" hidden="false" customHeight="false" outlineLevel="0" collapsed="false">
      <c r="A7" s="41" t="str">
        <f aca="false">IF(Október!A7="","",Október!A7)</f>
        <v>Vállalkozói bevétel</v>
      </c>
      <c r="B7" s="42"/>
      <c r="C7" s="25"/>
      <c r="D7" s="42"/>
      <c r="E7" s="25" t="str">
        <f aca="false">IF(D7=0,"",B7-D7)</f>
        <v/>
      </c>
      <c r="F7" s="30" t="str">
        <f aca="false">IF(OR($C$16=0,B7=""),"",B7/$C$16)</f>
        <v/>
      </c>
    </row>
    <row r="8" customFormat="false" ht="15" hidden="false" customHeight="false" outlineLevel="0" collapsed="false">
      <c r="A8" s="41" t="str">
        <f aca="false">IF(Október!A8="","",Október!A8)</f>
        <v/>
      </c>
      <c r="B8" s="42"/>
      <c r="C8" s="25"/>
      <c r="D8" s="42"/>
      <c r="E8" s="25" t="str">
        <f aca="false">IF(D8=0,"",B8-D8)</f>
        <v/>
      </c>
      <c r="F8" s="30" t="str">
        <f aca="false">IF(OR($C$16=0,B8=""),"",B8/$C$16)</f>
        <v/>
      </c>
    </row>
    <row r="9" customFormat="false" ht="15" hidden="false" customHeight="false" outlineLevel="0" collapsed="false">
      <c r="A9" s="43" t="s">
        <v>66</v>
      </c>
      <c r="B9" s="35"/>
      <c r="C9" s="44" t="n">
        <f aca="false">SUM(B5:B8)</f>
        <v>0</v>
      </c>
      <c r="D9" s="44" t="n">
        <f aca="false">SUM(D5:D8)</f>
        <v>0</v>
      </c>
      <c r="E9" s="44" t="str">
        <f aca="false">IF(D9=0,"",C9-D9)</f>
        <v/>
      </c>
      <c r="F9" s="45" t="str">
        <f aca="false">IF(OR($C$16=0,C9=""),"",C9/$C$16)</f>
        <v/>
      </c>
    </row>
    <row r="10" customFormat="false" ht="15" hidden="false" customHeight="false" outlineLevel="0" collapsed="false">
      <c r="A10" s="39" t="s">
        <v>67</v>
      </c>
      <c r="B10" s="40"/>
      <c r="C10" s="40"/>
      <c r="D10" s="40"/>
      <c r="E10" s="40"/>
      <c r="F10" s="40"/>
    </row>
    <row r="11" customFormat="false" ht="15" hidden="false" customHeight="false" outlineLevel="0" collapsed="false">
      <c r="A11" s="41" t="str">
        <f aca="false">IF(Október!A11="","",Október!A11)</f>
        <v>CSED / GYED / GYES</v>
      </c>
      <c r="B11" s="42"/>
      <c r="C11" s="25"/>
      <c r="D11" s="42"/>
      <c r="E11" s="25" t="str">
        <f aca="false">IF(D11=0,"",B11-D11)</f>
        <v/>
      </c>
      <c r="F11" s="30" t="str">
        <f aca="false">IF(OR($C$16=0,B11=""),"",B11/$C$16)</f>
        <v/>
      </c>
    </row>
    <row r="12" customFormat="false" ht="15" hidden="false" customHeight="false" outlineLevel="0" collapsed="false">
      <c r="A12" s="41" t="str">
        <f aca="false">IF(Október!A12="","",Október!A12)</f>
        <v>Családi pótlék</v>
      </c>
      <c r="B12" s="42"/>
      <c r="C12" s="25"/>
      <c r="D12" s="42"/>
      <c r="E12" s="25" t="str">
        <f aca="false">IF(D12=0,"",B12-D12)</f>
        <v/>
      </c>
      <c r="F12" s="30" t="str">
        <f aca="false">IF(OR($C$16=0,B12=""),"",B12/$C$16)</f>
        <v/>
      </c>
    </row>
    <row r="13" customFormat="false" ht="15" hidden="false" customHeight="false" outlineLevel="0" collapsed="false">
      <c r="A13" s="41" t="str">
        <f aca="false">IF(Október!A13="","",Október!A13)</f>
        <v>Egyéb (lakáskiadás, bónusz stb.)</v>
      </c>
      <c r="B13" s="42"/>
      <c r="C13" s="25"/>
      <c r="D13" s="42"/>
      <c r="E13" s="25" t="str">
        <f aca="false">IF(D13=0,"",B13-D13)</f>
        <v/>
      </c>
      <c r="F13" s="30" t="str">
        <f aca="false">IF(OR($C$16=0,B13=""),"",B13/$C$16)</f>
        <v/>
      </c>
    </row>
    <row r="14" customFormat="false" ht="15" hidden="false" customHeight="false" outlineLevel="0" collapsed="false">
      <c r="A14" s="41" t="str">
        <f aca="false">IF(Október!A14="","",Október!A14)</f>
        <v/>
      </c>
      <c r="B14" s="42"/>
      <c r="C14" s="25"/>
      <c r="D14" s="42"/>
      <c r="E14" s="25" t="str">
        <f aca="false">IF(D14=0,"",B14-D14)</f>
        <v/>
      </c>
      <c r="F14" s="30" t="str">
        <f aca="false">IF(OR($C$16=0,B14=""),"",B14/$C$16)</f>
        <v/>
      </c>
    </row>
    <row r="15" customFormat="false" ht="15" hidden="false" customHeight="false" outlineLevel="0" collapsed="false">
      <c r="A15" s="43" t="s">
        <v>71</v>
      </c>
      <c r="B15" s="35"/>
      <c r="C15" s="44" t="n">
        <f aca="false">SUM(B11:B14)</f>
        <v>0</v>
      </c>
      <c r="D15" s="44" t="n">
        <f aca="false">SUM(D11:D14)</f>
        <v>0</v>
      </c>
      <c r="E15" s="44" t="str">
        <f aca="false">IF(D15=0,"",C15-D15)</f>
        <v/>
      </c>
      <c r="F15" s="45" t="str">
        <f aca="false">IF(OR($C$16=0,C15=""),"",C15/$C$16)</f>
        <v/>
      </c>
    </row>
    <row r="16" customFormat="false" ht="15" hidden="false" customHeight="false" outlineLevel="0" collapsed="false">
      <c r="A16" s="26" t="s">
        <v>72</v>
      </c>
      <c r="B16" s="26"/>
      <c r="C16" s="46" t="n">
        <f aca="false">C9+C15</f>
        <v>0</v>
      </c>
      <c r="D16" s="46" t="n">
        <f aca="false">D9+D15</f>
        <v>0</v>
      </c>
      <c r="E16" s="46" t="str">
        <f aca="false">IF(D16=0,"",C16-D16)</f>
        <v/>
      </c>
      <c r="F16" s="47" t="str">
        <f aca="false">IF($C$16=0,"",1)</f>
        <v/>
      </c>
    </row>
    <row r="17" customFormat="false" ht="18" hidden="false" customHeight="true" outlineLevel="0" collapsed="false">
      <c r="A17" s="31" t="s">
        <v>73</v>
      </c>
      <c r="B17" s="31"/>
      <c r="C17" s="31"/>
      <c r="D17" s="31"/>
      <c r="E17" s="31"/>
      <c r="F17" s="31"/>
    </row>
    <row r="18" customFormat="false" ht="15" hidden="false" customHeight="false" outlineLevel="0" collapsed="false">
      <c r="A18" s="41" t="str">
        <f aca="false">IF(Október!A18="","",Október!A18)</f>
        <v>Vésztartalék</v>
      </c>
      <c r="B18" s="42"/>
      <c r="C18" s="25"/>
      <c r="D18" s="42"/>
      <c r="E18" s="25" t="str">
        <f aca="false">IF(D18=0,"",B18-D18)</f>
        <v/>
      </c>
      <c r="F18" s="30" t="str">
        <f aca="false">IF(OR($C$28=0,B18=""),"",B18/$C$28)</f>
        <v/>
      </c>
    </row>
    <row r="19" customFormat="false" ht="15" hidden="false" customHeight="false" outlineLevel="0" collapsed="false">
      <c r="A19" s="41" t="str">
        <f aca="false">IF(Október!A19="","",Október!A19)</f>
        <v>Lakástakarékpénztár</v>
      </c>
      <c r="B19" s="42"/>
      <c r="C19" s="25"/>
      <c r="D19" s="42"/>
      <c r="E19" s="25" t="str">
        <f aca="false">IF(D19=0,"",B19-D19)</f>
        <v/>
      </c>
      <c r="F19" s="30" t="str">
        <f aca="false">IF(OR($C$28=0,B19=""),"",B19/$C$28)</f>
        <v/>
      </c>
    </row>
    <row r="20" customFormat="false" ht="15" hidden="false" customHeight="false" outlineLevel="0" collapsed="false">
      <c r="A20" s="41" t="str">
        <f aca="false">IF(Október!A20="","",Október!A20)</f>
        <v>Általános cél</v>
      </c>
      <c r="B20" s="42"/>
      <c r="C20" s="25"/>
      <c r="D20" s="42"/>
      <c r="E20" s="25" t="str">
        <f aca="false">IF(D20=0,"",B20-D20)</f>
        <v/>
      </c>
      <c r="F20" s="30" t="str">
        <f aca="false">IF(OR($C$28=0,B20=""),"",B20/$C$28)</f>
        <v/>
      </c>
    </row>
    <row r="21" customFormat="false" ht="15" hidden="false" customHeight="false" outlineLevel="0" collapsed="false">
      <c r="A21" s="41" t="str">
        <f aca="false">IF(Október!A21="","",Október!A21)</f>
        <v>Hosszú távú (min. 10 éves, általános célú)</v>
      </c>
      <c r="B21" s="42"/>
      <c r="C21" s="25"/>
      <c r="D21" s="42"/>
      <c r="E21" s="25" t="str">
        <f aca="false">IF(D21=0,"",B21-D21)</f>
        <v/>
      </c>
      <c r="F21" s="30" t="str">
        <f aca="false">IF(OR($C$28=0,B21=""),"",B21/$C$28)</f>
        <v/>
      </c>
    </row>
    <row r="22" customFormat="false" ht="15" hidden="false" customHeight="false" outlineLevel="0" collapsed="false">
      <c r="A22" s="41" t="str">
        <f aca="false">IF(Október!A22="","",Október!A22)</f>
        <v>Hosszú távú (min. 10 éves, lakás célú)</v>
      </c>
      <c r="B22" s="42"/>
      <c r="C22" s="25"/>
      <c r="D22" s="42"/>
      <c r="E22" s="25" t="str">
        <f aca="false">IF(D22=0,"",B22-D22)</f>
        <v/>
      </c>
      <c r="F22" s="30" t="str">
        <f aca="false">IF(OR($C$28=0,B22=""),"",B22/$C$28)</f>
        <v/>
      </c>
    </row>
    <row r="23" customFormat="false" ht="15" hidden="false" customHeight="false" outlineLevel="0" collapsed="false">
      <c r="A23" s="41" t="str">
        <f aca="false">IF(Október!A23="","",Október!A23)</f>
        <v>Hosszú távú (min. 10 éves, gyermek jövője célú)</v>
      </c>
      <c r="B23" s="42"/>
      <c r="C23" s="25"/>
      <c r="D23" s="42"/>
      <c r="E23" s="25" t="str">
        <f aca="false">IF(D23=0,"",B23-D23)</f>
        <v/>
      </c>
      <c r="F23" s="30" t="str">
        <f aca="false">IF(OR($C$28=0,B23=""),"",B23/$C$28)</f>
        <v/>
      </c>
    </row>
    <row r="24" customFormat="false" ht="15" hidden="false" customHeight="false" outlineLevel="0" collapsed="false">
      <c r="A24" s="41" t="str">
        <f aca="false">IF(Október!A24="","",Október!A24)</f>
        <v>Hosszú távú (min. 15 éves, nyugdíj célú)</v>
      </c>
      <c r="B24" s="42"/>
      <c r="C24" s="25"/>
      <c r="D24" s="42"/>
      <c r="E24" s="25" t="str">
        <f aca="false">IF(D24=0,"",B24-D24)</f>
        <v/>
      </c>
      <c r="F24" s="30" t="str">
        <f aca="false">IF(OR($C$28=0,B24=""),"",B24/$C$28)</f>
        <v/>
      </c>
    </row>
    <row r="25" customFormat="false" ht="15" hidden="false" customHeight="false" outlineLevel="0" collapsed="false">
      <c r="A25" s="41" t="str">
        <f aca="false">IF(Október!A25="","",Október!A25)</f>
        <v>Nyugdíjbiztosítás</v>
      </c>
      <c r="B25" s="42"/>
      <c r="C25" s="25"/>
      <c r="D25" s="42"/>
      <c r="E25" s="25" t="str">
        <f aca="false">IF(D25=0,"",B25-D25)</f>
        <v/>
      </c>
      <c r="F25" s="30" t="str">
        <f aca="false">IF(OR($C$28=0,B25=""),"",B25/$C$28)</f>
        <v/>
      </c>
    </row>
    <row r="26" customFormat="false" ht="15" hidden="false" customHeight="false" outlineLevel="0" collapsed="false">
      <c r="A26" s="41" t="str">
        <f aca="false">IF(Október!A26="","",Október!A26)</f>
        <v/>
      </c>
      <c r="B26" s="42"/>
      <c r="C26" s="25"/>
      <c r="D26" s="42"/>
      <c r="E26" s="25" t="str">
        <f aca="false">IF(D26=0,"",B26-D26)</f>
        <v/>
      </c>
      <c r="F26" s="30" t="str">
        <f aca="false">IF(OR($C$28=0,B26=""),"",B26/$C$28)</f>
        <v/>
      </c>
    </row>
    <row r="27" customFormat="false" ht="15" hidden="false" customHeight="false" outlineLevel="0" collapsed="false">
      <c r="A27" s="41" t="str">
        <f aca="false">IF(Október!A27="","",Október!A27)</f>
        <v/>
      </c>
      <c r="B27" s="42"/>
      <c r="C27" s="25"/>
      <c r="D27" s="42"/>
      <c r="E27" s="25" t="str">
        <f aca="false">IF(D27=0,"",B27-D27)</f>
        <v/>
      </c>
      <c r="F27" s="30" t="str">
        <f aca="false">IF(OR($C$28=0,B27=""),"",B27/$C$28)</f>
        <v/>
      </c>
    </row>
    <row r="28" customFormat="false" ht="15" hidden="false" customHeight="false" outlineLevel="0" collapsed="false">
      <c r="A28" s="31" t="s">
        <v>82</v>
      </c>
      <c r="B28" s="31"/>
      <c r="C28" s="48" t="n">
        <f aca="false">SUM(B18:B27)</f>
        <v>0</v>
      </c>
      <c r="D28" s="48" t="n">
        <f aca="false">SUM(D18:D27)</f>
        <v>0</v>
      </c>
      <c r="E28" s="48" t="str">
        <f aca="false">IF(D28=0,"",C28-D28)</f>
        <v/>
      </c>
      <c r="F28" s="49" t="str">
        <f aca="false">IF($C$16=0,"",C28/$C$16)</f>
        <v/>
      </c>
    </row>
    <row r="29" customFormat="false" ht="18" hidden="false" customHeight="true" outlineLevel="0" collapsed="false">
      <c r="A29" s="33" t="s">
        <v>83</v>
      </c>
      <c r="B29" s="33"/>
      <c r="C29" s="33"/>
      <c r="D29" s="33"/>
      <c r="E29" s="33"/>
      <c r="F29" s="33"/>
    </row>
    <row r="30" customFormat="false" ht="15" hidden="false" customHeight="false" outlineLevel="0" collapsed="false">
      <c r="A30" s="39" t="s">
        <v>43</v>
      </c>
      <c r="B30" s="40"/>
      <c r="C30" s="40"/>
      <c r="D30" s="40"/>
      <c r="E30" s="40"/>
      <c r="F30" s="40"/>
    </row>
    <row r="31" customFormat="false" ht="15" hidden="false" customHeight="false" outlineLevel="0" collapsed="false">
      <c r="A31" s="41" t="str">
        <f aca="false">IF(Október!A31="","",Október!A31)</f>
        <v>Albérleti díj / lakáshitel</v>
      </c>
      <c r="B31" s="42"/>
      <c r="C31" s="25"/>
      <c r="D31" s="42"/>
      <c r="E31" s="25" t="str">
        <f aca="false">IF(D31=0,"",D31-B31)</f>
        <v/>
      </c>
      <c r="F31" s="30" t="str">
        <f aca="false">IF(OR($C$118=0,B31=""),"",B31/$C$118)</f>
        <v/>
      </c>
    </row>
    <row r="32" customFormat="false" ht="15" hidden="false" customHeight="false" outlineLevel="0" collapsed="false">
      <c r="A32" s="41" t="str">
        <f aca="false">IF(Október!A32="","",Október!A32)</f>
        <v>Rezsi (közművek, közös költség)</v>
      </c>
      <c r="B32" s="42"/>
      <c r="C32" s="25"/>
      <c r="D32" s="42"/>
      <c r="E32" s="25" t="str">
        <f aca="false">IF(D32=0,"",D32-B32)</f>
        <v/>
      </c>
      <c r="F32" s="30" t="str">
        <f aca="false">IF(OR($C$118=0,B32=""),"",B32/$C$118)</f>
        <v/>
      </c>
    </row>
    <row r="33" customFormat="false" ht="15" hidden="false" customHeight="false" outlineLevel="0" collapsed="false">
      <c r="A33" s="41" t="str">
        <f aca="false">IF(Október!A33="","",Október!A33)</f>
        <v>Telefon, internet, digitális előfizetések</v>
      </c>
      <c r="B33" s="42"/>
      <c r="C33" s="25"/>
      <c r="D33" s="42"/>
      <c r="E33" s="25" t="str">
        <f aca="false">IF(D33=0,"",D33-B33)</f>
        <v/>
      </c>
      <c r="F33" s="30" t="str">
        <f aca="false">IF(OR($C$118=0,B33=""),"",B33/$C$118)</f>
        <v/>
      </c>
    </row>
    <row r="34" customFormat="false" ht="15" hidden="false" customHeight="false" outlineLevel="0" collapsed="false">
      <c r="A34" s="41" t="str">
        <f aca="false">IF(Október!A34="","",Október!A34)</f>
        <v/>
      </c>
      <c r="B34" s="42"/>
      <c r="C34" s="25"/>
      <c r="D34" s="42"/>
      <c r="E34" s="25" t="str">
        <f aca="false">IF(D34=0,"",D34-B34)</f>
        <v/>
      </c>
      <c r="F34" s="30" t="str">
        <f aca="false">IF(OR($C$118=0,B34=""),"",B34/$C$118)</f>
        <v/>
      </c>
    </row>
    <row r="35" customFormat="false" ht="15" hidden="false" customHeight="false" outlineLevel="0" collapsed="false">
      <c r="A35" s="43" t="s">
        <v>87</v>
      </c>
      <c r="B35" s="35"/>
      <c r="C35" s="44" t="n">
        <f aca="false">SUM(B31:B34)</f>
        <v>0</v>
      </c>
      <c r="D35" s="44" t="n">
        <f aca="false">SUM(D31:D34)</f>
        <v>0</v>
      </c>
      <c r="E35" s="44" t="str">
        <f aca="false">IF(D35=0,"",D35-C35)</f>
        <v/>
      </c>
      <c r="F35" s="45" t="str">
        <f aca="false">IF(OR($C$118=0,C35=""),"",C35/$C$118)</f>
        <v/>
      </c>
    </row>
    <row r="36" customFormat="false" ht="15" hidden="false" customHeight="false" outlineLevel="0" collapsed="false">
      <c r="A36" s="39" t="s">
        <v>44</v>
      </c>
      <c r="B36" s="40"/>
      <c r="C36" s="40"/>
      <c r="D36" s="40"/>
      <c r="E36" s="40"/>
      <c r="F36" s="40"/>
    </row>
    <row r="37" customFormat="false" ht="15" hidden="false" customHeight="false" outlineLevel="0" collapsed="false">
      <c r="A37" s="41" t="str">
        <f aca="false">IF(Október!A37="","",Október!A37)</f>
        <v>Nagybevásárlások</v>
      </c>
      <c r="B37" s="42"/>
      <c r="C37" s="25"/>
      <c r="D37" s="42"/>
      <c r="E37" s="25" t="str">
        <f aca="false">IF(D37=0,"",D37-B37)</f>
        <v/>
      </c>
      <c r="F37" s="30" t="str">
        <f aca="false">IF(OR($C$118=0,B37=""),"",B37/$C$118)</f>
        <v/>
      </c>
    </row>
    <row r="38" customFormat="false" ht="15" hidden="false" customHeight="false" outlineLevel="0" collapsed="false">
      <c r="A38" s="41" t="str">
        <f aca="false">IF(Október!A38="","",Október!A38)</f>
        <v>Drogéria</v>
      </c>
      <c r="B38" s="42"/>
      <c r="C38" s="25"/>
      <c r="D38" s="42"/>
      <c r="E38" s="25" t="str">
        <f aca="false">IF(D38=0,"",D38-B38)</f>
        <v/>
      </c>
      <c r="F38" s="30" t="str">
        <f aca="false">IF(OR($C$118=0,B38=""),"",B38/$C$118)</f>
        <v/>
      </c>
    </row>
    <row r="39" customFormat="false" ht="15" hidden="false" customHeight="false" outlineLevel="0" collapsed="false">
      <c r="A39" s="41" t="str">
        <f aca="false">IF(Október!A39="","",Október!A39)</f>
        <v>Ételrendelés</v>
      </c>
      <c r="B39" s="42"/>
      <c r="C39" s="25"/>
      <c r="D39" s="42"/>
      <c r="E39" s="25" t="str">
        <f aca="false">IF(D39=0,"",D39-B39)</f>
        <v/>
      </c>
      <c r="F39" s="30" t="str">
        <f aca="false">IF(OR($C$118=0,B39=""),"",B39/$C$118)</f>
        <v/>
      </c>
    </row>
    <row r="40" customFormat="false" ht="15" hidden="false" customHeight="false" outlineLevel="0" collapsed="false">
      <c r="A40" s="41" t="str">
        <f aca="false">IF(Október!A40="","",Október!A40)</f>
        <v>Egyéb élelmiszer, bevásárlás</v>
      </c>
      <c r="B40" s="42"/>
      <c r="C40" s="25"/>
      <c r="D40" s="42"/>
      <c r="E40" s="25" t="str">
        <f aca="false">IF(D40=0,"",D40-B40)</f>
        <v/>
      </c>
      <c r="F40" s="30" t="str">
        <f aca="false">IF(OR($C$118=0,B40=""),"",B40/$C$118)</f>
        <v/>
      </c>
    </row>
    <row r="41" customFormat="false" ht="15" hidden="false" customHeight="false" outlineLevel="0" collapsed="false">
      <c r="A41" s="41" t="str">
        <f aca="false">IF(Október!A41="","",Október!A41)</f>
        <v/>
      </c>
      <c r="B41" s="42"/>
      <c r="C41" s="25"/>
      <c r="D41" s="42"/>
      <c r="E41" s="25" t="str">
        <f aca="false">IF(D41=0,"",D41-B41)</f>
        <v/>
      </c>
      <c r="F41" s="30" t="str">
        <f aca="false">IF(OR($C$118=0,B41=""),"",B41/$C$118)</f>
        <v/>
      </c>
    </row>
    <row r="42" customFormat="false" ht="15" hidden="false" customHeight="false" outlineLevel="0" collapsed="false">
      <c r="A42" s="43" t="s">
        <v>92</v>
      </c>
      <c r="B42" s="35"/>
      <c r="C42" s="44" t="n">
        <f aca="false">SUM(B37:B41)</f>
        <v>0</v>
      </c>
      <c r="D42" s="44" t="n">
        <f aca="false">SUM(D37:D41)</f>
        <v>0</v>
      </c>
      <c r="E42" s="44" t="str">
        <f aca="false">IF(D42=0,"",D42-C42)</f>
        <v/>
      </c>
      <c r="F42" s="45" t="str">
        <f aca="false">IF(OR($C$118=0,C42=""),"",C42/$C$118)</f>
        <v/>
      </c>
    </row>
    <row r="43" customFormat="false" ht="15" hidden="false" customHeight="false" outlineLevel="0" collapsed="false">
      <c r="A43" s="39" t="s">
        <v>45</v>
      </c>
      <c r="B43" s="40"/>
      <c r="C43" s="40"/>
      <c r="D43" s="40"/>
      <c r="E43" s="40"/>
      <c r="F43" s="40"/>
    </row>
    <row r="44" customFormat="false" ht="15" hidden="false" customHeight="false" outlineLevel="0" collapsed="false">
      <c r="A44" s="41" t="str">
        <f aca="false">IF(Október!A44="","",Október!A44)</f>
        <v>Lakásbiztosítás</v>
      </c>
      <c r="B44" s="42"/>
      <c r="C44" s="25"/>
      <c r="D44" s="42"/>
      <c r="E44" s="25" t="str">
        <f aca="false">IF(D44=0,"",D44-B44)</f>
        <v/>
      </c>
      <c r="F44" s="30" t="str">
        <f aca="false">IF(OR($C$118=0,B44=""),"",B44/$C$118)</f>
        <v/>
      </c>
    </row>
    <row r="45" customFormat="false" ht="15" hidden="false" customHeight="false" outlineLevel="0" collapsed="false">
      <c r="A45" s="41" t="str">
        <f aca="false">IF(Október!A45="","",Október!A45)</f>
        <v>Életbiztosítás</v>
      </c>
      <c r="B45" s="42"/>
      <c r="C45" s="25"/>
      <c r="D45" s="42"/>
      <c r="E45" s="25" t="str">
        <f aca="false">IF(D45=0,"",D45-B45)</f>
        <v/>
      </c>
      <c r="F45" s="30" t="str">
        <f aca="false">IF(OR($C$118=0,B45=""),"",B45/$C$118)</f>
        <v/>
      </c>
    </row>
    <row r="46" customFormat="false" ht="15" hidden="false" customHeight="false" outlineLevel="0" collapsed="false">
      <c r="A46" s="41" t="str">
        <f aca="false">IF(Október!A46="","",Október!A46)</f>
        <v>Baleset- és betegségbiztosítás</v>
      </c>
      <c r="B46" s="42"/>
      <c r="C46" s="25"/>
      <c r="D46" s="42"/>
      <c r="E46" s="25" t="str">
        <f aca="false">IF(D46=0,"",D46-B46)</f>
        <v/>
      </c>
      <c r="F46" s="30" t="str">
        <f aca="false">IF(OR($C$118=0,B46=""),"",B46/$C$118)</f>
        <v/>
      </c>
    </row>
    <row r="47" customFormat="false" ht="15" hidden="false" customHeight="false" outlineLevel="0" collapsed="false">
      <c r="A47" s="41" t="str">
        <f aca="false">IF(Október!A47="","",Október!A47)</f>
        <v>Egészségbiztosítás</v>
      </c>
      <c r="B47" s="42"/>
      <c r="C47" s="25"/>
      <c r="D47" s="42"/>
      <c r="E47" s="25" t="str">
        <f aca="false">IF(D47=0,"",D47-B47)</f>
        <v/>
      </c>
      <c r="F47" s="30" t="str">
        <f aca="false">IF(OR($C$118=0,B47=""),"",B47/$C$118)</f>
        <v/>
      </c>
    </row>
    <row r="48" customFormat="false" ht="15" hidden="false" customHeight="false" outlineLevel="0" collapsed="false">
      <c r="A48" s="41" t="str">
        <f aca="false">IF(Október!A48="","",Október!A48)</f>
        <v>Hiteltörlesztés</v>
      </c>
      <c r="B48" s="42"/>
      <c r="C48" s="25"/>
      <c r="D48" s="42"/>
      <c r="E48" s="25" t="str">
        <f aca="false">IF(D48=0,"",D48-B48)</f>
        <v/>
      </c>
      <c r="F48" s="30" t="str">
        <f aca="false">IF(OR($C$118=0,B48=""),"",B48/$C$118)</f>
        <v/>
      </c>
    </row>
    <row r="49" customFormat="false" ht="15" hidden="false" customHeight="false" outlineLevel="0" collapsed="false">
      <c r="A49" s="41" t="str">
        <f aca="false">IF(Október!A49="","",Október!A49)</f>
        <v>Egyéb szerződés</v>
      </c>
      <c r="B49" s="42"/>
      <c r="C49" s="25"/>
      <c r="D49" s="42"/>
      <c r="E49" s="25" t="str">
        <f aca="false">IF(D49=0,"",D49-B49)</f>
        <v/>
      </c>
      <c r="F49" s="30" t="str">
        <f aca="false">IF(OR($C$118=0,B49=""),"",B49/$C$118)</f>
        <v/>
      </c>
    </row>
    <row r="50" customFormat="false" ht="15" hidden="false" customHeight="false" outlineLevel="0" collapsed="false">
      <c r="A50" s="41" t="str">
        <f aca="false">IF(Október!A50="","",Október!A50)</f>
        <v/>
      </c>
      <c r="B50" s="42"/>
      <c r="C50" s="25"/>
      <c r="D50" s="42"/>
      <c r="E50" s="25" t="str">
        <f aca="false">IF(D50=0,"",D50-B50)</f>
        <v/>
      </c>
      <c r="F50" s="30" t="str">
        <f aca="false">IF(OR($C$118=0,B50=""),"",B50/$C$118)</f>
        <v/>
      </c>
    </row>
    <row r="51" customFormat="false" ht="15" hidden="false" customHeight="false" outlineLevel="0" collapsed="false">
      <c r="A51" s="41" t="str">
        <f aca="false">IF(Október!A51="","",Október!A51)</f>
        <v/>
      </c>
      <c r="B51" s="42"/>
      <c r="C51" s="25"/>
      <c r="D51" s="42"/>
      <c r="E51" s="25" t="str">
        <f aca="false">IF(D51=0,"",D51-B51)</f>
        <v/>
      </c>
      <c r="F51" s="30" t="str">
        <f aca="false">IF(OR($C$118=0,B51=""),"",B51/$C$118)</f>
        <v/>
      </c>
    </row>
    <row r="52" customFormat="false" ht="15" hidden="false" customHeight="false" outlineLevel="0" collapsed="false">
      <c r="A52" s="43" t="s">
        <v>99</v>
      </c>
      <c r="B52" s="35"/>
      <c r="C52" s="44" t="n">
        <f aca="false">SUM(B44:B51)</f>
        <v>0</v>
      </c>
      <c r="D52" s="44" t="n">
        <f aca="false">SUM(D44:D51)</f>
        <v>0</v>
      </c>
      <c r="E52" s="44" t="str">
        <f aca="false">IF(D52=0,"",D52-C52)</f>
        <v/>
      </c>
      <c r="F52" s="45" t="str">
        <f aca="false">IF(OR($C$118=0,C52=""),"",C52/$C$118)</f>
        <v/>
      </c>
    </row>
    <row r="53" customFormat="false" ht="15" hidden="false" customHeight="false" outlineLevel="0" collapsed="false">
      <c r="A53" s="39" t="s">
        <v>46</v>
      </c>
      <c r="B53" s="40"/>
      <c r="C53" s="40"/>
      <c r="D53" s="40"/>
      <c r="E53" s="40"/>
      <c r="F53" s="40"/>
    </row>
    <row r="54" customFormat="false" ht="15" hidden="false" customHeight="false" outlineLevel="0" collapsed="false">
      <c r="A54" s="41" t="str">
        <f aca="false">IF(Október!A54="","",Október!A54)</f>
        <v>Üzemanyag, elektromos töltés</v>
      </c>
      <c r="B54" s="42"/>
      <c r="C54" s="25"/>
      <c r="D54" s="42"/>
      <c r="E54" s="25" t="str">
        <f aca="false">IF(D54=0,"",D54-B54)</f>
        <v/>
      </c>
      <c r="F54" s="30" t="str">
        <f aca="false">IF(OR($C$118=0,B54=""),"",B54/$C$118)</f>
        <v/>
      </c>
    </row>
    <row r="55" customFormat="false" ht="15" hidden="false" customHeight="false" outlineLevel="0" collapsed="false">
      <c r="A55" s="41" t="str">
        <f aca="false">IF(Október!A55="","",Október!A55)</f>
        <v>Parkolás, útdíj, autópálya-matrica</v>
      </c>
      <c r="B55" s="42"/>
      <c r="C55" s="25"/>
      <c r="D55" s="42"/>
      <c r="E55" s="25" t="str">
        <f aca="false">IF(D55=0,"",D55-B55)</f>
        <v/>
      </c>
      <c r="F55" s="30" t="str">
        <f aca="false">IF(OR($C$118=0,B55=""),"",B55/$C$118)</f>
        <v/>
      </c>
    </row>
    <row r="56" customFormat="false" ht="15" hidden="false" customHeight="false" outlineLevel="0" collapsed="false">
      <c r="A56" s="41" t="str">
        <f aca="false">IF(Október!A56="","",Október!A56)</f>
        <v>Szerviz, karbantartás, gumicsere</v>
      </c>
      <c r="B56" s="42"/>
      <c r="C56" s="25"/>
      <c r="D56" s="42"/>
      <c r="E56" s="25" t="str">
        <f aca="false">IF(D56=0,"",D56-B56)</f>
        <v/>
      </c>
      <c r="F56" s="30" t="str">
        <f aca="false">IF(OR($C$118=0,B56=""),"",B56/$C$118)</f>
        <v/>
      </c>
    </row>
    <row r="57" customFormat="false" ht="15" hidden="false" customHeight="false" outlineLevel="0" collapsed="false">
      <c r="A57" s="41" t="str">
        <f aca="false">IF(Október!A57="","",Október!A57)</f>
        <v>KGFB (kötelező biztosítás)</v>
      </c>
      <c r="B57" s="42"/>
      <c r="C57" s="25"/>
      <c r="D57" s="42"/>
      <c r="E57" s="25" t="str">
        <f aca="false">IF(D57=0,"",D57-B57)</f>
        <v/>
      </c>
      <c r="F57" s="30" t="str">
        <f aca="false">IF(OR($C$118=0,B57=""),"",B57/$C$118)</f>
        <v/>
      </c>
    </row>
    <row r="58" customFormat="false" ht="15" hidden="false" customHeight="false" outlineLevel="0" collapsed="false">
      <c r="A58" s="41" t="str">
        <f aca="false">IF(Október!A58="","",Október!A58)</f>
        <v>CASCO</v>
      </c>
      <c r="B58" s="42"/>
      <c r="C58" s="25"/>
      <c r="D58" s="42"/>
      <c r="E58" s="25" t="str">
        <f aca="false">IF(D58=0,"",D58-B58)</f>
        <v/>
      </c>
      <c r="F58" s="30" t="str">
        <f aca="false">IF(OR($C$118=0,B58=""),"",B58/$C$118)</f>
        <v/>
      </c>
    </row>
    <row r="59" customFormat="false" ht="15" hidden="false" customHeight="false" outlineLevel="0" collapsed="false">
      <c r="A59" s="41" t="str">
        <f aca="false">IF(Október!A59="","",Október!A59)</f>
        <v>Gépjárműadó</v>
      </c>
      <c r="B59" s="42"/>
      <c r="C59" s="25"/>
      <c r="D59" s="42"/>
      <c r="E59" s="25" t="str">
        <f aca="false">IF(D59=0,"",D59-B59)</f>
        <v/>
      </c>
      <c r="F59" s="30" t="str">
        <f aca="false">IF(OR($C$118=0,B59=""),"",B59/$C$118)</f>
        <v/>
      </c>
    </row>
    <row r="60" customFormat="false" ht="15" hidden="false" customHeight="false" outlineLevel="0" collapsed="false">
      <c r="A60" s="41" t="str">
        <f aca="false">IF(Október!A60="","",Október!A60)</f>
        <v>Autóhitel, lízing részlet</v>
      </c>
      <c r="B60" s="42"/>
      <c r="C60" s="25"/>
      <c r="D60" s="42"/>
      <c r="E60" s="25" t="str">
        <f aca="false">IF(D60=0,"",D60-B60)</f>
        <v/>
      </c>
      <c r="F60" s="30" t="str">
        <f aca="false">IF(OR($C$118=0,B60=""),"",B60/$C$118)</f>
        <v/>
      </c>
    </row>
    <row r="61" customFormat="false" ht="15" hidden="false" customHeight="false" outlineLevel="0" collapsed="false">
      <c r="A61" s="41" t="str">
        <f aca="false">IF(Október!A61="","",Október!A61)</f>
        <v>Autómosás, egyéb autós költség</v>
      </c>
      <c r="B61" s="42"/>
      <c r="C61" s="25"/>
      <c r="D61" s="42"/>
      <c r="E61" s="25" t="str">
        <f aca="false">IF(D61=0,"",D61-B61)</f>
        <v/>
      </c>
      <c r="F61" s="30" t="str">
        <f aca="false">IF(OR($C$118=0,B61=""),"",B61/$C$118)</f>
        <v/>
      </c>
    </row>
    <row r="62" customFormat="false" ht="15" hidden="false" customHeight="false" outlineLevel="0" collapsed="false">
      <c r="A62" s="41" t="str">
        <f aca="false">IF(Október!A62="","",Október!A62)</f>
        <v>Tömegközlekedés, bérlet</v>
      </c>
      <c r="B62" s="42"/>
      <c r="C62" s="25"/>
      <c r="D62" s="42"/>
      <c r="E62" s="25" t="str">
        <f aca="false">IF(D62=0,"",D62-B62)</f>
        <v/>
      </c>
      <c r="F62" s="30" t="str">
        <f aca="false">IF(OR($C$118=0,B62=""),"",B62/$C$118)</f>
        <v/>
      </c>
    </row>
    <row r="63" customFormat="false" ht="15" hidden="false" customHeight="false" outlineLevel="0" collapsed="false">
      <c r="A63" s="41" t="str">
        <f aca="false">IF(Október!A63="","",Október!A63)</f>
        <v>Taxi, roller, bicikli, közösségi közlekedés</v>
      </c>
      <c r="B63" s="42"/>
      <c r="C63" s="25"/>
      <c r="D63" s="42"/>
      <c r="E63" s="25" t="str">
        <f aca="false">IF(D63=0,"",D63-B63)</f>
        <v/>
      </c>
      <c r="F63" s="30" t="str">
        <f aca="false">IF(OR($C$118=0,B63=""),"",B63/$C$118)</f>
        <v/>
      </c>
    </row>
    <row r="64" customFormat="false" ht="15" hidden="false" customHeight="false" outlineLevel="0" collapsed="false">
      <c r="A64" s="41" t="str">
        <f aca="false">IF(Október!A64="","",Október!A64)</f>
        <v/>
      </c>
      <c r="B64" s="42"/>
      <c r="C64" s="25"/>
      <c r="D64" s="42"/>
      <c r="E64" s="25" t="str">
        <f aca="false">IF(D64=0,"",D64-B64)</f>
        <v/>
      </c>
      <c r="F64" s="30" t="str">
        <f aca="false">IF(OR($C$118=0,B64=""),"",B64/$C$118)</f>
        <v/>
      </c>
    </row>
    <row r="65" customFormat="false" ht="15" hidden="false" customHeight="false" outlineLevel="0" collapsed="false">
      <c r="A65" s="41" t="str">
        <f aca="false">IF(Október!A65="","",Október!A65)</f>
        <v/>
      </c>
      <c r="B65" s="42"/>
      <c r="C65" s="25"/>
      <c r="D65" s="42"/>
      <c r="E65" s="25" t="str">
        <f aca="false">IF(D65=0,"",D65-B65)</f>
        <v/>
      </c>
      <c r="F65" s="30" t="str">
        <f aca="false">IF(OR($C$118=0,B65=""),"",B65/$C$118)</f>
        <v/>
      </c>
    </row>
    <row r="66" customFormat="false" ht="15" hidden="false" customHeight="false" outlineLevel="0" collapsed="false">
      <c r="A66" s="43" t="s">
        <v>110</v>
      </c>
      <c r="B66" s="35"/>
      <c r="C66" s="44" t="n">
        <f aca="false">SUM(B54:B65)</f>
        <v>0</v>
      </c>
      <c r="D66" s="44" t="n">
        <f aca="false">SUM(D54:D65)</f>
        <v>0</v>
      </c>
      <c r="E66" s="44" t="str">
        <f aca="false">IF(D66=0,"",D66-C66)</f>
        <v/>
      </c>
      <c r="F66" s="45" t="str">
        <f aca="false">IF(OR($C$118=0,C66=""),"",C66/$C$118)</f>
        <v/>
      </c>
    </row>
    <row r="67" customFormat="false" ht="15" hidden="false" customHeight="false" outlineLevel="0" collapsed="false">
      <c r="A67" s="39" t="s">
        <v>47</v>
      </c>
      <c r="B67" s="40"/>
      <c r="C67" s="40"/>
      <c r="D67" s="40"/>
      <c r="E67" s="40"/>
      <c r="F67" s="40"/>
    </row>
    <row r="68" customFormat="false" ht="15" hidden="false" customHeight="false" outlineLevel="0" collapsed="false">
      <c r="A68" s="41" t="str">
        <f aca="false">IF(Október!A68="","",Október!A68)</f>
        <v>Gyerek ruha, cipő</v>
      </c>
      <c r="B68" s="42"/>
      <c r="C68" s="25"/>
      <c r="D68" s="42"/>
      <c r="E68" s="25" t="str">
        <f aca="false">IF(D68=0,"",D68-B68)</f>
        <v/>
      </c>
      <c r="F68" s="30" t="str">
        <f aca="false">IF(OR($C$118=0,B68=""),"",B68/$C$118)</f>
        <v/>
      </c>
    </row>
    <row r="69" customFormat="false" ht="15" hidden="false" customHeight="false" outlineLevel="0" collapsed="false">
      <c r="A69" s="41" t="str">
        <f aca="false">IF(Október!A69="","",Október!A69)</f>
        <v>Gyerek étkeztetés (menza)</v>
      </c>
      <c r="B69" s="42"/>
      <c r="C69" s="25"/>
      <c r="D69" s="42"/>
      <c r="E69" s="25" t="str">
        <f aca="false">IF(D69=0,"",D69-B69)</f>
        <v/>
      </c>
      <c r="F69" s="30" t="str">
        <f aca="false">IF(OR($C$118=0,B69=""),"",B69/$C$118)</f>
        <v/>
      </c>
    </row>
    <row r="70" customFormat="false" ht="15" hidden="false" customHeight="false" outlineLevel="0" collapsed="false">
      <c r="A70" s="41" t="str">
        <f aca="false">IF(Október!A70="","",Október!A70)</f>
        <v>Bölcsőde, óvoda, iskola díjai</v>
      </c>
      <c r="B70" s="42"/>
      <c r="C70" s="25"/>
      <c r="D70" s="42"/>
      <c r="E70" s="25" t="str">
        <f aca="false">IF(D70=0,"",D70-B70)</f>
        <v/>
      </c>
      <c r="F70" s="30" t="str">
        <f aca="false">IF(OR($C$118=0,B70=""),"",B70/$C$118)</f>
        <v/>
      </c>
    </row>
    <row r="71" customFormat="false" ht="15" hidden="false" customHeight="false" outlineLevel="0" collapsed="false">
      <c r="A71" s="41" t="str">
        <f aca="false">IF(Október!A71="","",Október!A71)</f>
        <v>Tankönyv, tanszer</v>
      </c>
      <c r="B71" s="42"/>
      <c r="C71" s="25"/>
      <c r="D71" s="42"/>
      <c r="E71" s="25" t="str">
        <f aca="false">IF(D71=0,"",D71-B71)</f>
        <v/>
      </c>
      <c r="F71" s="30" t="str">
        <f aca="false">IF(OR($C$118=0,B71=""),"",B71/$C$118)</f>
        <v/>
      </c>
    </row>
    <row r="72" customFormat="false" ht="15" hidden="false" customHeight="false" outlineLevel="0" collapsed="false">
      <c r="A72" s="41" t="str">
        <f aca="false">IF(Október!A72="","",Október!A72)</f>
        <v>Különórák, edzések</v>
      </c>
      <c r="B72" s="42"/>
      <c r="C72" s="25"/>
      <c r="D72" s="42"/>
      <c r="E72" s="25" t="str">
        <f aca="false">IF(D72=0,"",D72-B72)</f>
        <v/>
      </c>
      <c r="F72" s="30" t="str">
        <f aca="false">IF(OR($C$118=0,B72=""),"",B72/$C$118)</f>
        <v/>
      </c>
    </row>
    <row r="73" customFormat="false" ht="15" hidden="false" customHeight="false" outlineLevel="0" collapsed="false">
      <c r="A73" s="41" t="str">
        <f aca="false">IF(Október!A73="","",Október!A73)</f>
        <v>Magánóra, korrepetálás</v>
      </c>
      <c r="B73" s="42"/>
      <c r="C73" s="25"/>
      <c r="D73" s="42"/>
      <c r="E73" s="25" t="str">
        <f aca="false">IF(D73=0,"",D73-B73)</f>
        <v/>
      </c>
      <c r="F73" s="30" t="str">
        <f aca="false">IF(OR($C$118=0,B73=""),"",B73/$C$118)</f>
        <v/>
      </c>
    </row>
    <row r="74" customFormat="false" ht="15" hidden="false" customHeight="false" outlineLevel="0" collapsed="false">
      <c r="A74" s="41" t="str">
        <f aca="false">IF(Október!A74="","",Október!A74)</f>
        <v>Zsebpénz</v>
      </c>
      <c r="B74" s="42"/>
      <c r="C74" s="25"/>
      <c r="D74" s="42"/>
      <c r="E74" s="25" t="str">
        <f aca="false">IF(D74=0,"",D74-B74)</f>
        <v/>
      </c>
      <c r="F74" s="30" t="str">
        <f aca="false">IF(OR($C$118=0,B74=""),"",B74/$C$118)</f>
        <v/>
      </c>
    </row>
    <row r="75" customFormat="false" ht="15" hidden="false" customHeight="false" outlineLevel="0" collapsed="false">
      <c r="A75" s="41" t="str">
        <f aca="false">IF(Október!A75="","",Október!A75)</f>
        <v>Játékok, szórakozás</v>
      </c>
      <c r="B75" s="42"/>
      <c r="C75" s="25"/>
      <c r="D75" s="42"/>
      <c r="E75" s="25" t="str">
        <f aca="false">IF(D75=0,"",D75-B75)</f>
        <v/>
      </c>
      <c r="F75" s="30" t="str">
        <f aca="false">IF(OR($C$118=0,B75=""),"",B75/$C$118)</f>
        <v/>
      </c>
    </row>
    <row r="76" customFormat="false" ht="15" hidden="false" customHeight="false" outlineLevel="0" collapsed="false">
      <c r="A76" s="41" t="str">
        <f aca="false">IF(Október!A76="","",Október!A76)</f>
        <v/>
      </c>
      <c r="B76" s="42"/>
      <c r="C76" s="25"/>
      <c r="D76" s="42"/>
      <c r="E76" s="25" t="str">
        <f aca="false">IF(D76=0,"",D76-B76)</f>
        <v/>
      </c>
      <c r="F76" s="30" t="str">
        <f aca="false">IF(OR($C$118=0,B76=""),"",B76/$C$118)</f>
        <v/>
      </c>
    </row>
    <row r="77" customFormat="false" ht="15" hidden="false" customHeight="false" outlineLevel="0" collapsed="false">
      <c r="A77" s="41" t="str">
        <f aca="false">IF(Október!A77="","",Október!A77)</f>
        <v/>
      </c>
      <c r="B77" s="42"/>
      <c r="C77" s="25"/>
      <c r="D77" s="42"/>
      <c r="E77" s="25" t="str">
        <f aca="false">IF(D77=0,"",D77-B77)</f>
        <v/>
      </c>
      <c r="F77" s="30" t="str">
        <f aca="false">IF(OR($C$118=0,B77=""),"",B77/$C$118)</f>
        <v/>
      </c>
    </row>
    <row r="78" customFormat="false" ht="15" hidden="false" customHeight="false" outlineLevel="0" collapsed="false">
      <c r="A78" s="41" t="str">
        <f aca="false">IF(Október!A78="","",Október!A78)</f>
        <v/>
      </c>
      <c r="B78" s="42"/>
      <c r="C78" s="25"/>
      <c r="D78" s="42"/>
      <c r="E78" s="25" t="str">
        <f aca="false">IF(D78=0,"",D78-B78)</f>
        <v/>
      </c>
      <c r="F78" s="30" t="str">
        <f aca="false">IF(OR($C$118=0,B78=""),"",B78/$C$118)</f>
        <v/>
      </c>
    </row>
    <row r="79" customFormat="false" ht="15" hidden="false" customHeight="false" outlineLevel="0" collapsed="false">
      <c r="A79" s="43" t="s">
        <v>119</v>
      </c>
      <c r="B79" s="35"/>
      <c r="C79" s="44" t="n">
        <f aca="false">SUM(B68:B78)</f>
        <v>0</v>
      </c>
      <c r="D79" s="44" t="n">
        <f aca="false">SUM(D68:D78)</f>
        <v>0</v>
      </c>
      <c r="E79" s="44" t="str">
        <f aca="false">IF(D79=0,"",D79-C79)</f>
        <v/>
      </c>
      <c r="F79" s="45" t="str">
        <f aca="false">IF(OR($C$118=0,C79=""),"",C79/$C$118)</f>
        <v/>
      </c>
    </row>
    <row r="80" customFormat="false" ht="15" hidden="false" customHeight="false" outlineLevel="0" collapsed="false">
      <c r="A80" s="39" t="s">
        <v>48</v>
      </c>
      <c r="B80" s="40"/>
      <c r="C80" s="40"/>
      <c r="D80" s="40"/>
      <c r="E80" s="40"/>
      <c r="F80" s="40"/>
    </row>
    <row r="81" customFormat="false" ht="15" hidden="false" customHeight="false" outlineLevel="0" collapsed="false">
      <c r="A81" s="41" t="str">
        <f aca="false">IF(Október!A81="","",Október!A81)</f>
        <v>Ruha</v>
      </c>
      <c r="B81" s="42"/>
      <c r="C81" s="25"/>
      <c r="D81" s="42"/>
      <c r="E81" s="25" t="str">
        <f aca="false">IF(D81=0,"",D81-B81)</f>
        <v/>
      </c>
      <c r="F81" s="30" t="str">
        <f aca="false">IF(OR($C$118=0,B81=""),"",B81/$C$118)</f>
        <v/>
      </c>
    </row>
    <row r="82" customFormat="false" ht="15" hidden="false" customHeight="false" outlineLevel="0" collapsed="false">
      <c r="A82" s="41" t="str">
        <f aca="false">IF(Október!A82="","",Október!A82)</f>
        <v>Cipő</v>
      </c>
      <c r="B82" s="42"/>
      <c r="C82" s="25"/>
      <c r="D82" s="42"/>
      <c r="E82" s="25" t="str">
        <f aca="false">IF(D82=0,"",D82-B82)</f>
        <v/>
      </c>
      <c r="F82" s="30" t="str">
        <f aca="false">IF(OR($C$118=0,B82=""),"",B82/$C$118)</f>
        <v/>
      </c>
    </row>
    <row r="83" customFormat="false" ht="15" hidden="false" customHeight="false" outlineLevel="0" collapsed="false">
      <c r="A83" s="41" t="str">
        <f aca="false">IF(Október!A83="","",Október!A83)</f>
        <v>Kiegészítők (táska, ékszer, óra)</v>
      </c>
      <c r="B83" s="42"/>
      <c r="C83" s="25"/>
      <c r="D83" s="42"/>
      <c r="E83" s="25" t="str">
        <f aca="false">IF(D83=0,"",D83-B83)</f>
        <v/>
      </c>
      <c r="F83" s="30" t="str">
        <f aca="false">IF(OR($C$118=0,B83=""),"",B83/$C$118)</f>
        <v/>
      </c>
    </row>
    <row r="84" customFormat="false" ht="15" hidden="false" customHeight="false" outlineLevel="0" collapsed="false">
      <c r="A84" s="41" t="str">
        <f aca="false">IF(Október!A84="","",Október!A84)</f>
        <v/>
      </c>
      <c r="B84" s="42"/>
      <c r="C84" s="25"/>
      <c r="D84" s="42"/>
      <c r="E84" s="25" t="str">
        <f aca="false">IF(D84=0,"",D84-B84)</f>
        <v/>
      </c>
      <c r="F84" s="30" t="str">
        <f aca="false">IF(OR($C$118=0,B84=""),"",B84/$C$118)</f>
        <v/>
      </c>
    </row>
    <row r="85" customFormat="false" ht="15" hidden="false" customHeight="false" outlineLevel="0" collapsed="false">
      <c r="A85" s="43" t="s">
        <v>123</v>
      </c>
      <c r="B85" s="35"/>
      <c r="C85" s="44" t="n">
        <f aca="false">SUM(B81:B84)</f>
        <v>0</v>
      </c>
      <c r="D85" s="44" t="n">
        <f aca="false">SUM(D81:D84)</f>
        <v>0</v>
      </c>
      <c r="E85" s="44" t="str">
        <f aca="false">IF(D85=0,"",D85-C85)</f>
        <v/>
      </c>
      <c r="F85" s="45" t="str">
        <f aca="false">IF(OR($C$118=0,C85=""),"",C85/$C$118)</f>
        <v/>
      </c>
    </row>
    <row r="86" customFormat="false" ht="15" hidden="false" customHeight="false" outlineLevel="0" collapsed="false">
      <c r="A86" s="39" t="s">
        <v>49</v>
      </c>
      <c r="B86" s="40"/>
      <c r="C86" s="40"/>
      <c r="D86" s="40"/>
      <c r="E86" s="40"/>
      <c r="F86" s="40"/>
    </row>
    <row r="87" customFormat="false" ht="15" hidden="false" customHeight="false" outlineLevel="0" collapsed="false">
      <c r="A87" s="41" t="str">
        <f aca="false">IF(Október!A87="","",Október!A87)</f>
        <v>Fodrász, borbély</v>
      </c>
      <c r="B87" s="42"/>
      <c r="C87" s="25"/>
      <c r="D87" s="42"/>
      <c r="E87" s="25" t="str">
        <f aca="false">IF(D87=0,"",D87-B87)</f>
        <v/>
      </c>
      <c r="F87" s="30" t="str">
        <f aca="false">IF(OR($C$118=0,B87=""),"",B87/$C$118)</f>
        <v/>
      </c>
    </row>
    <row r="88" customFormat="false" ht="15" hidden="false" customHeight="false" outlineLevel="0" collapsed="false">
      <c r="A88" s="41" t="str">
        <f aca="false">IF(Október!A88="","",Október!A88)</f>
        <v>Kozmetikus, manikűr, pedikűr</v>
      </c>
      <c r="B88" s="42"/>
      <c r="C88" s="25"/>
      <c r="D88" s="42"/>
      <c r="E88" s="25" t="str">
        <f aca="false">IF(D88=0,"",D88-B88)</f>
        <v/>
      </c>
      <c r="F88" s="30" t="str">
        <f aca="false">IF(OR($C$118=0,B88=""),"",B88/$C$118)</f>
        <v/>
      </c>
    </row>
    <row r="89" customFormat="false" ht="15" hidden="false" customHeight="false" outlineLevel="0" collapsed="false">
      <c r="A89" s="41" t="str">
        <f aca="false">IF(Október!A89="","",Október!A89)</f>
        <v>Kozmetikumok, parfüm</v>
      </c>
      <c r="B89" s="42"/>
      <c r="C89" s="25"/>
      <c r="D89" s="42"/>
      <c r="E89" s="25" t="str">
        <f aca="false">IF(D89=0,"",D89-B89)</f>
        <v/>
      </c>
      <c r="F89" s="30" t="str">
        <f aca="false">IF(OR($C$118=0,B89=""),"",B89/$C$118)</f>
        <v/>
      </c>
    </row>
    <row r="90" customFormat="false" ht="15" hidden="false" customHeight="false" outlineLevel="0" collapsed="false">
      <c r="A90" s="41" t="str">
        <f aca="false">IF(Október!A90="","",Október!A90)</f>
        <v>Edzés, sport, bérlet</v>
      </c>
      <c r="B90" s="42"/>
      <c r="C90" s="25"/>
      <c r="D90" s="42"/>
      <c r="E90" s="25" t="str">
        <f aca="false">IF(D90=0,"",D90-B90)</f>
        <v/>
      </c>
      <c r="F90" s="30" t="str">
        <f aca="false">IF(OR($C$118=0,B90=""),"",B90/$C$118)</f>
        <v/>
      </c>
    </row>
    <row r="91" customFormat="false" ht="15" hidden="false" customHeight="false" outlineLevel="0" collapsed="false">
      <c r="A91" s="41" t="str">
        <f aca="false">IF(Október!A91="","",Október!A91)</f>
        <v>Gyógyszer, vitamin</v>
      </c>
      <c r="B91" s="42"/>
      <c r="C91" s="25"/>
      <c r="D91" s="42"/>
      <c r="E91" s="25" t="str">
        <f aca="false">IF(D91=0,"",D91-B91)</f>
        <v/>
      </c>
      <c r="F91" s="30" t="str">
        <f aca="false">IF(OR($C$118=0,B91=""),"",B91/$C$118)</f>
        <v/>
      </c>
    </row>
    <row r="92" customFormat="false" ht="15" hidden="false" customHeight="false" outlineLevel="0" collapsed="false">
      <c r="A92" s="41" t="str">
        <f aca="false">IF(Október!A92="","",Október!A92)</f>
        <v>Orvos, fogorvos, magánrendelés</v>
      </c>
      <c r="B92" s="42"/>
      <c r="C92" s="25"/>
      <c r="D92" s="42"/>
      <c r="E92" s="25" t="str">
        <f aca="false">IF(D92=0,"",D92-B92)</f>
        <v/>
      </c>
      <c r="F92" s="30" t="str">
        <f aca="false">IF(OR($C$118=0,B92=""),"",B92/$C$118)</f>
        <v/>
      </c>
    </row>
    <row r="93" customFormat="false" ht="15" hidden="false" customHeight="false" outlineLevel="0" collapsed="false">
      <c r="A93" s="41" t="str">
        <f aca="false">IF(Október!A93="","",Október!A93)</f>
        <v/>
      </c>
      <c r="B93" s="42"/>
      <c r="C93" s="25"/>
      <c r="D93" s="42"/>
      <c r="E93" s="25" t="str">
        <f aca="false">IF(D93=0,"",D93-B93)</f>
        <v/>
      </c>
      <c r="F93" s="30" t="str">
        <f aca="false">IF(OR($C$118=0,B93=""),"",B93/$C$118)</f>
        <v/>
      </c>
    </row>
    <row r="94" customFormat="false" ht="15" hidden="false" customHeight="false" outlineLevel="0" collapsed="false">
      <c r="A94" s="43" t="s">
        <v>130</v>
      </c>
      <c r="B94" s="35"/>
      <c r="C94" s="44" t="n">
        <f aca="false">SUM(B87:B93)</f>
        <v>0</v>
      </c>
      <c r="D94" s="44" t="n">
        <f aca="false">SUM(D87:D93)</f>
        <v>0</v>
      </c>
      <c r="E94" s="44" t="str">
        <f aca="false">IF(D94=0,"",D94-C94)</f>
        <v/>
      </c>
      <c r="F94" s="45" t="str">
        <f aca="false">IF(OR($C$118=0,C94=""),"",C94/$C$118)</f>
        <v/>
      </c>
    </row>
    <row r="95" customFormat="false" ht="15" hidden="false" customHeight="false" outlineLevel="0" collapsed="false">
      <c r="A95" s="39" t="s">
        <v>50</v>
      </c>
      <c r="B95" s="40"/>
      <c r="C95" s="40"/>
      <c r="D95" s="40"/>
      <c r="E95" s="40"/>
      <c r="F95" s="40"/>
    </row>
    <row r="96" customFormat="false" ht="15" hidden="false" customHeight="false" outlineLevel="0" collapsed="false">
      <c r="A96" s="41" t="str">
        <f aca="false">IF(Október!A96="","",Október!A96)</f>
        <v>Cigaretta, dohány</v>
      </c>
      <c r="B96" s="42"/>
      <c r="C96" s="25"/>
      <c r="D96" s="42"/>
      <c r="E96" s="25" t="str">
        <f aca="false">IF(D96=0,"",D96-B96)</f>
        <v/>
      </c>
      <c r="F96" s="30" t="str">
        <f aca="false">IF(OR($C$118=0,B96=""),"",B96/$C$118)</f>
        <v/>
      </c>
    </row>
    <row r="97" customFormat="false" ht="15" hidden="false" customHeight="false" outlineLevel="0" collapsed="false">
      <c r="A97" s="41" t="str">
        <f aca="false">IF(Október!A97="","",Október!A97)</f>
        <v>E-cigaretta, hevített dohánytermék</v>
      </c>
      <c r="B97" s="42"/>
      <c r="C97" s="25"/>
      <c r="D97" s="42"/>
      <c r="E97" s="25" t="str">
        <f aca="false">IF(D97=0,"",D97-B97)</f>
        <v/>
      </c>
      <c r="F97" s="30" t="str">
        <f aca="false">IF(OR($C$118=0,B97=""),"",B97/$C$118)</f>
        <v/>
      </c>
    </row>
    <row r="98" customFormat="false" ht="15" hidden="false" customHeight="false" outlineLevel="0" collapsed="false">
      <c r="A98" s="41" t="str">
        <f aca="false">IF(Október!A98="","",Október!A98)</f>
        <v/>
      </c>
      <c r="B98" s="42"/>
      <c r="C98" s="25"/>
      <c r="D98" s="42"/>
      <c r="E98" s="25" t="str">
        <f aca="false">IF(D98=0,"",D98-B98)</f>
        <v/>
      </c>
      <c r="F98" s="30" t="str">
        <f aca="false">IF(OR($C$118=0,B98=""),"",B98/$C$118)</f>
        <v/>
      </c>
    </row>
    <row r="99" customFormat="false" ht="15" hidden="false" customHeight="false" outlineLevel="0" collapsed="false">
      <c r="A99" s="43" t="s">
        <v>133</v>
      </c>
      <c r="B99" s="35"/>
      <c r="C99" s="44" t="n">
        <f aca="false">SUM(B96:B98)</f>
        <v>0</v>
      </c>
      <c r="D99" s="44" t="n">
        <f aca="false">SUM(D96:D98)</f>
        <v>0</v>
      </c>
      <c r="E99" s="44" t="str">
        <f aca="false">IF(D99=0,"",D99-C99)</f>
        <v/>
      </c>
      <c r="F99" s="45" t="str">
        <f aca="false">IF(OR($C$118=0,C99=""),"",C99/$C$118)</f>
        <v/>
      </c>
    </row>
    <row r="100" customFormat="false" ht="15" hidden="false" customHeight="false" outlineLevel="0" collapsed="false">
      <c r="A100" s="39" t="s">
        <v>51</v>
      </c>
      <c r="B100" s="40"/>
      <c r="C100" s="40"/>
      <c r="D100" s="40"/>
      <c r="E100" s="40"/>
      <c r="F100" s="40"/>
    </row>
    <row r="101" customFormat="false" ht="15" hidden="false" customHeight="false" outlineLevel="0" collapsed="false">
      <c r="A101" s="41" t="str">
        <f aca="false">IF(Október!A101="","",Október!A101)</f>
        <v>Állateledel, jutalomfalat</v>
      </c>
      <c r="B101" s="42"/>
      <c r="C101" s="25"/>
      <c r="D101" s="42"/>
      <c r="E101" s="25" t="str">
        <f aca="false">IF(D101=0,"",D101-B101)</f>
        <v/>
      </c>
      <c r="F101" s="30" t="str">
        <f aca="false">IF(OR($C$118=0,B101=""),"",B101/$C$118)</f>
        <v/>
      </c>
    </row>
    <row r="102" customFormat="false" ht="15" hidden="false" customHeight="false" outlineLevel="0" collapsed="false">
      <c r="A102" s="41" t="str">
        <f aca="false">IF(Október!A102="","",Október!A102)</f>
        <v>Állatorvos, oltások, gyógyszer</v>
      </c>
      <c r="B102" s="42"/>
      <c r="C102" s="25"/>
      <c r="D102" s="42"/>
      <c r="E102" s="25" t="str">
        <f aca="false">IF(D102=0,"",D102-B102)</f>
        <v/>
      </c>
      <c r="F102" s="30" t="str">
        <f aca="false">IF(OR($C$118=0,B102=""),"",B102/$C$118)</f>
        <v/>
      </c>
    </row>
    <row r="103" customFormat="false" ht="15" hidden="false" customHeight="false" outlineLevel="0" collapsed="false">
      <c r="A103" s="41" t="str">
        <f aca="false">IF(Október!A103="","",Október!A103)</f>
        <v>Felszerelés, alom, játékok</v>
      </c>
      <c r="B103" s="42"/>
      <c r="C103" s="25"/>
      <c r="D103" s="42"/>
      <c r="E103" s="25" t="str">
        <f aca="false">IF(D103=0,"",D103-B103)</f>
        <v/>
      </c>
      <c r="F103" s="30" t="str">
        <f aca="false">IF(OR($C$118=0,B103=""),"",B103/$C$118)</f>
        <v/>
      </c>
    </row>
    <row r="104" customFormat="false" ht="15" hidden="false" customHeight="false" outlineLevel="0" collapsed="false">
      <c r="A104" s="41" t="str">
        <f aca="false">IF(Október!A104="","",Október!A104)</f>
        <v>Kisállat-kozmetika, panzió, kutyaiskola</v>
      </c>
      <c r="B104" s="42"/>
      <c r="C104" s="25"/>
      <c r="D104" s="42"/>
      <c r="E104" s="25" t="str">
        <f aca="false">IF(D104=0,"",D104-B104)</f>
        <v/>
      </c>
      <c r="F104" s="30" t="str">
        <f aca="false">IF(OR($C$118=0,B104=""),"",B104/$C$118)</f>
        <v/>
      </c>
    </row>
    <row r="105" customFormat="false" ht="15" hidden="false" customHeight="false" outlineLevel="0" collapsed="false">
      <c r="A105" s="41" t="str">
        <f aca="false">IF(Október!A105="","",Október!A105)</f>
        <v/>
      </c>
      <c r="B105" s="42"/>
      <c r="C105" s="25"/>
      <c r="D105" s="42"/>
      <c r="E105" s="25" t="str">
        <f aca="false">IF(D105=0,"",D105-B105)</f>
        <v/>
      </c>
      <c r="F105" s="30" t="str">
        <f aca="false">IF(OR($C$118=0,B105=""),"",B105/$C$118)</f>
        <v/>
      </c>
    </row>
    <row r="106" customFormat="false" ht="15" hidden="false" customHeight="false" outlineLevel="0" collapsed="false">
      <c r="A106" s="43" t="s">
        <v>138</v>
      </c>
      <c r="B106" s="35"/>
      <c r="C106" s="44" t="n">
        <f aca="false">SUM(B101:B105)</f>
        <v>0</v>
      </c>
      <c r="D106" s="44" t="n">
        <f aca="false">SUM(D101:D105)</f>
        <v>0</v>
      </c>
      <c r="E106" s="44" t="str">
        <f aca="false">IF(D106=0,"",D106-C106)</f>
        <v/>
      </c>
      <c r="F106" s="45" t="str">
        <f aca="false">IF(OR($C$118=0,C106=""),"",C106/$C$118)</f>
        <v/>
      </c>
    </row>
    <row r="107" customFormat="false" ht="15" hidden="false" customHeight="false" outlineLevel="0" collapsed="false">
      <c r="A107" s="39" t="s">
        <v>52</v>
      </c>
      <c r="B107" s="40"/>
      <c r="C107" s="40"/>
      <c r="D107" s="40"/>
      <c r="E107" s="40"/>
      <c r="F107" s="40"/>
    </row>
    <row r="108" customFormat="false" ht="15" hidden="false" customHeight="false" outlineLevel="0" collapsed="false">
      <c r="A108" s="41" t="str">
        <f aca="false">IF(Október!A108="","",Október!A108)</f>
        <v>Hobbi</v>
      </c>
      <c r="B108" s="42"/>
      <c r="C108" s="25"/>
      <c r="D108" s="42"/>
      <c r="E108" s="25" t="str">
        <f aca="false">IF(D108=0,"",D108-B108)</f>
        <v/>
      </c>
      <c r="F108" s="30" t="str">
        <f aca="false">IF(OR($C$118=0,B108=""),"",B108/$C$118)</f>
        <v/>
      </c>
    </row>
    <row r="109" customFormat="false" ht="15" hidden="false" customHeight="false" outlineLevel="0" collapsed="false">
      <c r="A109" s="41" t="str">
        <f aca="false">IF(Október!A109="","",Október!A109)</f>
        <v>Szórakozás (mozi, színház, koncert, étterem)</v>
      </c>
      <c r="B109" s="42"/>
      <c r="C109" s="25"/>
      <c r="D109" s="42"/>
      <c r="E109" s="25" t="str">
        <f aca="false">IF(D109=0,"",D109-B109)</f>
        <v/>
      </c>
      <c r="F109" s="30" t="str">
        <f aca="false">IF(OR($C$118=0,B109=""),"",B109/$C$118)</f>
        <v/>
      </c>
    </row>
    <row r="110" customFormat="false" ht="15" hidden="false" customHeight="false" outlineLevel="0" collapsed="false">
      <c r="A110" s="41" t="str">
        <f aca="false">IF(Október!A110="","",Október!A110)</f>
        <v>Nyaralás, utazás</v>
      </c>
      <c r="B110" s="42"/>
      <c r="C110" s="25"/>
      <c r="D110" s="42"/>
      <c r="E110" s="25" t="str">
        <f aca="false">IF(D110=0,"",D110-B110)</f>
        <v/>
      </c>
      <c r="F110" s="30" t="str">
        <f aca="false">IF(OR($C$118=0,B110=""),"",B110/$C$118)</f>
        <v/>
      </c>
    </row>
    <row r="111" customFormat="false" ht="15" hidden="false" customHeight="false" outlineLevel="0" collapsed="false">
      <c r="A111" s="41" t="str">
        <f aca="false">IF(Október!A111="","",Október!A111)</f>
        <v/>
      </c>
      <c r="B111" s="42"/>
      <c r="C111" s="25"/>
      <c r="D111" s="42"/>
      <c r="E111" s="25" t="str">
        <f aca="false">IF(D111=0,"",D111-B111)</f>
        <v/>
      </c>
      <c r="F111" s="30" t="str">
        <f aca="false">IF(OR($C$118=0,B111=""),"",B111/$C$118)</f>
        <v/>
      </c>
    </row>
    <row r="112" customFormat="false" ht="15" hidden="false" customHeight="false" outlineLevel="0" collapsed="false">
      <c r="A112" s="43" t="s">
        <v>142</v>
      </c>
      <c r="B112" s="35"/>
      <c r="C112" s="44" t="n">
        <f aca="false">SUM(B108:B111)</f>
        <v>0</v>
      </c>
      <c r="D112" s="44" t="n">
        <f aca="false">SUM(D108:D111)</f>
        <v>0</v>
      </c>
      <c r="E112" s="44" t="str">
        <f aca="false">IF(D112=0,"",D112-C112)</f>
        <v/>
      </c>
      <c r="F112" s="45" t="str">
        <f aca="false">IF(OR($C$118=0,C112=""),"",C112/$C$118)</f>
        <v/>
      </c>
    </row>
    <row r="113" customFormat="false" ht="15" hidden="false" customHeight="false" outlineLevel="0" collapsed="false">
      <c r="A113" s="39" t="s">
        <v>53</v>
      </c>
      <c r="B113" s="40"/>
      <c r="C113" s="40"/>
      <c r="D113" s="40"/>
      <c r="E113" s="40"/>
      <c r="F113" s="40"/>
    </row>
    <row r="114" customFormat="false" ht="15" hidden="false" customHeight="false" outlineLevel="0" collapsed="false">
      <c r="A114" s="41" t="str">
        <f aca="false">IF(Október!A114="","",Október!A114)</f>
        <v>Ünnepek, ajándékok</v>
      </c>
      <c r="B114" s="42"/>
      <c r="C114" s="25"/>
      <c r="D114" s="42"/>
      <c r="E114" s="25" t="str">
        <f aca="false">IF(D114=0,"",D114-B114)</f>
        <v/>
      </c>
      <c r="F114" s="30" t="str">
        <f aca="false">IF(OR($C$118=0,B114=""),"",B114/$C$118)</f>
        <v/>
      </c>
    </row>
    <row r="115" customFormat="false" ht="15" hidden="false" customHeight="false" outlineLevel="0" collapsed="false">
      <c r="A115" s="41" t="str">
        <f aca="false">IF(Október!A115="","",Október!A115)</f>
        <v>Egyéb kiadás</v>
      </c>
      <c r="B115" s="42"/>
      <c r="C115" s="25"/>
      <c r="D115" s="42"/>
      <c r="E115" s="25" t="str">
        <f aca="false">IF(D115=0,"",D115-B115)</f>
        <v/>
      </c>
      <c r="F115" s="30" t="str">
        <f aca="false">IF(OR($C$118=0,B115=""),"",B115/$C$118)</f>
        <v/>
      </c>
    </row>
    <row r="116" customFormat="false" ht="15" hidden="false" customHeight="false" outlineLevel="0" collapsed="false">
      <c r="A116" s="41" t="str">
        <f aca="false">IF(Október!A116="","",Október!A116)</f>
        <v/>
      </c>
      <c r="B116" s="42"/>
      <c r="C116" s="25"/>
      <c r="D116" s="42"/>
      <c r="E116" s="25" t="str">
        <f aca="false">IF(D116=0,"",D116-B116)</f>
        <v/>
      </c>
      <c r="F116" s="30" t="str">
        <f aca="false">IF(OR($C$118=0,B116=""),"",B116/$C$118)</f>
        <v/>
      </c>
    </row>
    <row r="117" customFormat="false" ht="15" hidden="false" customHeight="false" outlineLevel="0" collapsed="false">
      <c r="A117" s="43" t="s">
        <v>145</v>
      </c>
      <c r="B117" s="35"/>
      <c r="C117" s="44" t="n">
        <f aca="false">SUM(B114:B116)</f>
        <v>0</v>
      </c>
      <c r="D117" s="44" t="n">
        <f aca="false">SUM(D114:D116)</f>
        <v>0</v>
      </c>
      <c r="E117" s="44" t="str">
        <f aca="false">IF(D117=0,"",D117-C117)</f>
        <v/>
      </c>
      <c r="F117" s="45" t="str">
        <f aca="false">IF(OR($C$118=0,C117=""),"",C117/$C$118)</f>
        <v/>
      </c>
    </row>
    <row r="118" customFormat="false" ht="15" hidden="false" customHeight="false" outlineLevel="0" collapsed="false">
      <c r="A118" s="33" t="s">
        <v>146</v>
      </c>
      <c r="B118" s="33"/>
      <c r="C118" s="50" t="n">
        <f aca="false">C35+C42+C52+C66+C79+C85+C94+C99+C106+C112+C117</f>
        <v>0</v>
      </c>
      <c r="D118" s="50" t="n">
        <f aca="false">D35+D42+D52+D66+D79+D85+D94+D99+D106+D112+D117</f>
        <v>0</v>
      </c>
      <c r="E118" s="50" t="str">
        <f aca="false">IF(D118=0,"",D118-C118)</f>
        <v/>
      </c>
      <c r="F118" s="51" t="str">
        <f aca="false">IF($C$16=0,"",C118/$C$16)</f>
        <v/>
      </c>
    </row>
    <row r="119" customFormat="false" ht="15" hidden="false" customHeight="false" outlineLevel="0" collapsed="false">
      <c r="A119" s="8" t="s">
        <v>147</v>
      </c>
      <c r="B119" s="8"/>
      <c r="C119" s="8" t="s">
        <v>148</v>
      </c>
      <c r="D119" s="8" t="s">
        <v>149</v>
      </c>
      <c r="E119" s="8"/>
      <c r="F119" s="8" t="s">
        <v>150</v>
      </c>
    </row>
    <row r="120" customFormat="false" ht="15" hidden="false" customHeight="false" outlineLevel="0" collapsed="false">
      <c r="A120" s="13" t="s">
        <v>151</v>
      </c>
      <c r="B120" s="52"/>
      <c r="C120" s="53" t="n">
        <f aca="false">C16</f>
        <v>0</v>
      </c>
      <c r="D120" s="53" t="n">
        <f aca="false">D16</f>
        <v>0</v>
      </c>
      <c r="E120" s="52"/>
      <c r="F120" s="54" t="str">
        <f aca="false">IF($C$120=0,"",C120/$C$120)</f>
        <v/>
      </c>
    </row>
    <row r="121" customFormat="false" ht="15" hidden="false" customHeight="false" outlineLevel="0" collapsed="false">
      <c r="A121" s="17" t="s">
        <v>152</v>
      </c>
      <c r="B121" s="52"/>
      <c r="C121" s="53" t="n">
        <f aca="false">C28</f>
        <v>0</v>
      </c>
      <c r="D121" s="53" t="n">
        <f aca="false">D28</f>
        <v>0</v>
      </c>
      <c r="E121" s="52"/>
      <c r="F121" s="54" t="str">
        <f aca="false">IF($C$120=0,"",C121/$C$120)</f>
        <v/>
      </c>
    </row>
    <row r="122" customFormat="false" ht="15" hidden="false" customHeight="false" outlineLevel="0" collapsed="false">
      <c r="A122" s="18" t="s">
        <v>153</v>
      </c>
      <c r="B122" s="52"/>
      <c r="C122" s="53" t="n">
        <f aca="false">C118</f>
        <v>0</v>
      </c>
      <c r="D122" s="53" t="n">
        <f aca="false">D118</f>
        <v>0</v>
      </c>
      <c r="E122" s="52"/>
      <c r="F122" s="54" t="str">
        <f aca="false">IF($C$120=0,"",C122/$C$120)</f>
        <v/>
      </c>
    </row>
    <row r="123" customFormat="false" ht="15" hidden="false" customHeight="false" outlineLevel="0" collapsed="false">
      <c r="A123" s="33" t="s">
        <v>154</v>
      </c>
      <c r="B123" s="33"/>
      <c r="C123" s="50" t="n">
        <f aca="false">C121+C122</f>
        <v>0</v>
      </c>
      <c r="D123" s="50" t="n">
        <f aca="false">D121+D122</f>
        <v>0</v>
      </c>
      <c r="E123" s="33"/>
      <c r="F123" s="51" t="str">
        <f aca="false">IF($C$120=0,"",C123/$C$120)</f>
        <v/>
      </c>
    </row>
    <row r="124" customFormat="false" ht="15" hidden="false" customHeight="false" outlineLevel="0" collapsed="false">
      <c r="A124" s="19" t="s">
        <v>155</v>
      </c>
      <c r="B124" s="19"/>
      <c r="C124" s="20" t="n">
        <f aca="false">C120-C123</f>
        <v>0</v>
      </c>
      <c r="D124" s="20" t="n">
        <f aca="false">D120-D123</f>
        <v>0</v>
      </c>
      <c r="E124" s="19"/>
      <c r="F124" s="55" t="str">
        <f aca="false">IF($C$120=0,"",C124/$C$120)</f>
        <v/>
      </c>
    </row>
    <row r="125" customFormat="false" ht="15" hidden="false" customHeight="false" outlineLevel="0" collapsed="false">
      <c r="A125" s="24" t="s">
        <v>156</v>
      </c>
      <c r="B125" s="24"/>
      <c r="C125" s="23" t="str">
        <f aca="false">IF(C120=0,"–",C121/C120)</f>
        <v>–</v>
      </c>
      <c r="D125" s="23" t="str">
        <f aca="false">IF(D120=0,"–",D121/D120)</f>
        <v>–</v>
      </c>
      <c r="E125" s="24"/>
      <c r="F125" s="24"/>
    </row>
    <row r="126" customFormat="false" ht="15" hidden="false" customHeight="false" outlineLevel="0" collapsed="false">
      <c r="A126" s="36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7" t="str">
        <f aca="false">" 💰 HAVI KÖLTSÉGVETÉS — "&amp;UPPER("December")&amp;" "&amp;'📊 Éves Összesítő'!$B$2</f>
        <v> 💰 HAVI KÖLTSÉGVETÉS — DECEMBER 2026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37" t="s">
        <v>56</v>
      </c>
      <c r="B2" s="38" t="s">
        <v>57</v>
      </c>
      <c r="C2" s="38" t="s">
        <v>58</v>
      </c>
      <c r="D2" s="38" t="s">
        <v>59</v>
      </c>
      <c r="E2" s="38" t="s">
        <v>60</v>
      </c>
      <c r="F2" s="38" t="s">
        <v>33</v>
      </c>
    </row>
    <row r="3" customFormat="false" ht="18" hidden="false" customHeight="true" outlineLevel="0" collapsed="false">
      <c r="A3" s="26" t="s">
        <v>61</v>
      </c>
      <c r="B3" s="26"/>
      <c r="C3" s="26"/>
      <c r="D3" s="26"/>
      <c r="E3" s="26"/>
      <c r="F3" s="26"/>
    </row>
    <row r="4" customFormat="false" ht="15" hidden="false" customHeight="false" outlineLevel="0" collapsed="false">
      <c r="A4" s="39" t="s">
        <v>62</v>
      </c>
      <c r="B4" s="40"/>
      <c r="C4" s="40"/>
      <c r="D4" s="40"/>
      <c r="E4" s="40"/>
      <c r="F4" s="40"/>
    </row>
    <row r="5" customFormat="false" ht="15" hidden="false" customHeight="false" outlineLevel="0" collapsed="false">
      <c r="A5" s="41" t="str">
        <f aca="false">IF(November!A5="","",November!A5)</f>
        <v>Munkabér 1 (pl. saját)</v>
      </c>
      <c r="B5" s="42"/>
      <c r="C5" s="25"/>
      <c r="D5" s="42"/>
      <c r="E5" s="25" t="str">
        <f aca="false">IF(D5=0,"",B5-D5)</f>
        <v/>
      </c>
      <c r="F5" s="30" t="str">
        <f aca="false">IF(OR($C$16=0,B5=""),"",B5/$C$16)</f>
        <v/>
      </c>
    </row>
    <row r="6" customFormat="false" ht="15" hidden="false" customHeight="false" outlineLevel="0" collapsed="false">
      <c r="A6" s="41" t="str">
        <f aca="false">IF(November!A6="","",November!A6)</f>
        <v>Munkabér 2 (pl. partner)</v>
      </c>
      <c r="B6" s="42"/>
      <c r="C6" s="25"/>
      <c r="D6" s="42"/>
      <c r="E6" s="25" t="str">
        <f aca="false">IF(D6=0,"",B6-D6)</f>
        <v/>
      </c>
      <c r="F6" s="30" t="str">
        <f aca="false">IF(OR($C$16=0,B6=""),"",B6/$C$16)</f>
        <v/>
      </c>
    </row>
    <row r="7" customFormat="false" ht="15" hidden="false" customHeight="false" outlineLevel="0" collapsed="false">
      <c r="A7" s="41" t="str">
        <f aca="false">IF(November!A7="","",November!A7)</f>
        <v>Vállalkozói bevétel</v>
      </c>
      <c r="B7" s="42"/>
      <c r="C7" s="25"/>
      <c r="D7" s="42"/>
      <c r="E7" s="25" t="str">
        <f aca="false">IF(D7=0,"",B7-D7)</f>
        <v/>
      </c>
      <c r="F7" s="30" t="str">
        <f aca="false">IF(OR($C$16=0,B7=""),"",B7/$C$16)</f>
        <v/>
      </c>
    </row>
    <row r="8" customFormat="false" ht="15" hidden="false" customHeight="false" outlineLevel="0" collapsed="false">
      <c r="A8" s="41" t="str">
        <f aca="false">IF(November!A8="","",November!A8)</f>
        <v/>
      </c>
      <c r="B8" s="42"/>
      <c r="C8" s="25"/>
      <c r="D8" s="42"/>
      <c r="E8" s="25" t="str">
        <f aca="false">IF(D8=0,"",B8-D8)</f>
        <v/>
      </c>
      <c r="F8" s="30" t="str">
        <f aca="false">IF(OR($C$16=0,B8=""),"",B8/$C$16)</f>
        <v/>
      </c>
    </row>
    <row r="9" customFormat="false" ht="15" hidden="false" customHeight="false" outlineLevel="0" collapsed="false">
      <c r="A9" s="43" t="s">
        <v>66</v>
      </c>
      <c r="B9" s="35"/>
      <c r="C9" s="44" t="n">
        <f aca="false">SUM(B5:B8)</f>
        <v>0</v>
      </c>
      <c r="D9" s="44" t="n">
        <f aca="false">SUM(D5:D8)</f>
        <v>0</v>
      </c>
      <c r="E9" s="44" t="str">
        <f aca="false">IF(D9=0,"",C9-D9)</f>
        <v/>
      </c>
      <c r="F9" s="45" t="str">
        <f aca="false">IF(OR($C$16=0,C9=""),"",C9/$C$16)</f>
        <v/>
      </c>
    </row>
    <row r="10" customFormat="false" ht="15" hidden="false" customHeight="false" outlineLevel="0" collapsed="false">
      <c r="A10" s="39" t="s">
        <v>67</v>
      </c>
      <c r="B10" s="40"/>
      <c r="C10" s="40"/>
      <c r="D10" s="40"/>
      <c r="E10" s="40"/>
      <c r="F10" s="40"/>
    </row>
    <row r="11" customFormat="false" ht="15" hidden="false" customHeight="false" outlineLevel="0" collapsed="false">
      <c r="A11" s="41" t="str">
        <f aca="false">IF(November!A11="","",November!A11)</f>
        <v>CSED / GYED / GYES</v>
      </c>
      <c r="B11" s="42"/>
      <c r="C11" s="25"/>
      <c r="D11" s="42"/>
      <c r="E11" s="25" t="str">
        <f aca="false">IF(D11=0,"",B11-D11)</f>
        <v/>
      </c>
      <c r="F11" s="30" t="str">
        <f aca="false">IF(OR($C$16=0,B11=""),"",B11/$C$16)</f>
        <v/>
      </c>
    </row>
    <row r="12" customFormat="false" ht="15" hidden="false" customHeight="false" outlineLevel="0" collapsed="false">
      <c r="A12" s="41" t="str">
        <f aca="false">IF(November!A12="","",November!A12)</f>
        <v>Családi pótlék</v>
      </c>
      <c r="B12" s="42"/>
      <c r="C12" s="25"/>
      <c r="D12" s="42"/>
      <c r="E12" s="25" t="str">
        <f aca="false">IF(D12=0,"",B12-D12)</f>
        <v/>
      </c>
      <c r="F12" s="30" t="str">
        <f aca="false">IF(OR($C$16=0,B12=""),"",B12/$C$16)</f>
        <v/>
      </c>
    </row>
    <row r="13" customFormat="false" ht="15" hidden="false" customHeight="false" outlineLevel="0" collapsed="false">
      <c r="A13" s="41" t="str">
        <f aca="false">IF(November!A13="","",November!A13)</f>
        <v>Egyéb (lakáskiadás, bónusz stb.)</v>
      </c>
      <c r="B13" s="42"/>
      <c r="C13" s="25"/>
      <c r="D13" s="42"/>
      <c r="E13" s="25" t="str">
        <f aca="false">IF(D13=0,"",B13-D13)</f>
        <v/>
      </c>
      <c r="F13" s="30" t="str">
        <f aca="false">IF(OR($C$16=0,B13=""),"",B13/$C$16)</f>
        <v/>
      </c>
    </row>
    <row r="14" customFormat="false" ht="15" hidden="false" customHeight="false" outlineLevel="0" collapsed="false">
      <c r="A14" s="41" t="str">
        <f aca="false">IF(November!A14="","",November!A14)</f>
        <v/>
      </c>
      <c r="B14" s="42"/>
      <c r="C14" s="25"/>
      <c r="D14" s="42"/>
      <c r="E14" s="25" t="str">
        <f aca="false">IF(D14=0,"",B14-D14)</f>
        <v/>
      </c>
      <c r="F14" s="30" t="str">
        <f aca="false">IF(OR($C$16=0,B14=""),"",B14/$C$16)</f>
        <v/>
      </c>
    </row>
    <row r="15" customFormat="false" ht="15" hidden="false" customHeight="false" outlineLevel="0" collapsed="false">
      <c r="A15" s="43" t="s">
        <v>71</v>
      </c>
      <c r="B15" s="35"/>
      <c r="C15" s="44" t="n">
        <f aca="false">SUM(B11:B14)</f>
        <v>0</v>
      </c>
      <c r="D15" s="44" t="n">
        <f aca="false">SUM(D11:D14)</f>
        <v>0</v>
      </c>
      <c r="E15" s="44" t="str">
        <f aca="false">IF(D15=0,"",C15-D15)</f>
        <v/>
      </c>
      <c r="F15" s="45" t="str">
        <f aca="false">IF(OR($C$16=0,C15=""),"",C15/$C$16)</f>
        <v/>
      </c>
    </row>
    <row r="16" customFormat="false" ht="15" hidden="false" customHeight="false" outlineLevel="0" collapsed="false">
      <c r="A16" s="26" t="s">
        <v>72</v>
      </c>
      <c r="B16" s="26"/>
      <c r="C16" s="46" t="n">
        <f aca="false">C9+C15</f>
        <v>0</v>
      </c>
      <c r="D16" s="46" t="n">
        <f aca="false">D9+D15</f>
        <v>0</v>
      </c>
      <c r="E16" s="46" t="str">
        <f aca="false">IF(D16=0,"",C16-D16)</f>
        <v/>
      </c>
      <c r="F16" s="47" t="str">
        <f aca="false">IF($C$16=0,"",1)</f>
        <v/>
      </c>
    </row>
    <row r="17" customFormat="false" ht="18" hidden="false" customHeight="true" outlineLevel="0" collapsed="false">
      <c r="A17" s="31" t="s">
        <v>73</v>
      </c>
      <c r="B17" s="31"/>
      <c r="C17" s="31"/>
      <c r="D17" s="31"/>
      <c r="E17" s="31"/>
      <c r="F17" s="31"/>
    </row>
    <row r="18" customFormat="false" ht="15" hidden="false" customHeight="false" outlineLevel="0" collapsed="false">
      <c r="A18" s="41" t="str">
        <f aca="false">IF(November!A18="","",November!A18)</f>
        <v>Vésztartalék</v>
      </c>
      <c r="B18" s="42"/>
      <c r="C18" s="25"/>
      <c r="D18" s="42"/>
      <c r="E18" s="25" t="str">
        <f aca="false">IF(D18=0,"",B18-D18)</f>
        <v/>
      </c>
      <c r="F18" s="30" t="str">
        <f aca="false">IF(OR($C$28=0,B18=""),"",B18/$C$28)</f>
        <v/>
      </c>
    </row>
    <row r="19" customFormat="false" ht="15" hidden="false" customHeight="false" outlineLevel="0" collapsed="false">
      <c r="A19" s="41" t="str">
        <f aca="false">IF(November!A19="","",November!A19)</f>
        <v>Lakástakarékpénztár</v>
      </c>
      <c r="B19" s="42"/>
      <c r="C19" s="25"/>
      <c r="D19" s="42"/>
      <c r="E19" s="25" t="str">
        <f aca="false">IF(D19=0,"",B19-D19)</f>
        <v/>
      </c>
      <c r="F19" s="30" t="str">
        <f aca="false">IF(OR($C$28=0,B19=""),"",B19/$C$28)</f>
        <v/>
      </c>
    </row>
    <row r="20" customFormat="false" ht="15" hidden="false" customHeight="false" outlineLevel="0" collapsed="false">
      <c r="A20" s="41" t="str">
        <f aca="false">IF(November!A20="","",November!A20)</f>
        <v>Általános cél</v>
      </c>
      <c r="B20" s="42"/>
      <c r="C20" s="25"/>
      <c r="D20" s="42"/>
      <c r="E20" s="25" t="str">
        <f aca="false">IF(D20=0,"",B20-D20)</f>
        <v/>
      </c>
      <c r="F20" s="30" t="str">
        <f aca="false">IF(OR($C$28=0,B20=""),"",B20/$C$28)</f>
        <v/>
      </c>
    </row>
    <row r="21" customFormat="false" ht="15" hidden="false" customHeight="false" outlineLevel="0" collapsed="false">
      <c r="A21" s="41" t="str">
        <f aca="false">IF(November!A21="","",November!A21)</f>
        <v>Hosszú távú (min. 10 éves, általános célú)</v>
      </c>
      <c r="B21" s="42"/>
      <c r="C21" s="25"/>
      <c r="D21" s="42"/>
      <c r="E21" s="25" t="str">
        <f aca="false">IF(D21=0,"",B21-D21)</f>
        <v/>
      </c>
      <c r="F21" s="30" t="str">
        <f aca="false">IF(OR($C$28=0,B21=""),"",B21/$C$28)</f>
        <v/>
      </c>
    </row>
    <row r="22" customFormat="false" ht="15" hidden="false" customHeight="false" outlineLevel="0" collapsed="false">
      <c r="A22" s="41" t="str">
        <f aca="false">IF(November!A22="","",November!A22)</f>
        <v>Hosszú távú (min. 10 éves, lakás célú)</v>
      </c>
      <c r="B22" s="42"/>
      <c r="C22" s="25"/>
      <c r="D22" s="42"/>
      <c r="E22" s="25" t="str">
        <f aca="false">IF(D22=0,"",B22-D22)</f>
        <v/>
      </c>
      <c r="F22" s="30" t="str">
        <f aca="false">IF(OR($C$28=0,B22=""),"",B22/$C$28)</f>
        <v/>
      </c>
    </row>
    <row r="23" customFormat="false" ht="15" hidden="false" customHeight="false" outlineLevel="0" collapsed="false">
      <c r="A23" s="41" t="str">
        <f aca="false">IF(November!A23="","",November!A23)</f>
        <v>Hosszú távú (min. 10 éves, gyermek jövője célú)</v>
      </c>
      <c r="B23" s="42"/>
      <c r="C23" s="25"/>
      <c r="D23" s="42"/>
      <c r="E23" s="25" t="str">
        <f aca="false">IF(D23=0,"",B23-D23)</f>
        <v/>
      </c>
      <c r="F23" s="30" t="str">
        <f aca="false">IF(OR($C$28=0,B23=""),"",B23/$C$28)</f>
        <v/>
      </c>
    </row>
    <row r="24" customFormat="false" ht="15" hidden="false" customHeight="false" outlineLevel="0" collapsed="false">
      <c r="A24" s="41" t="str">
        <f aca="false">IF(November!A24="","",November!A24)</f>
        <v>Hosszú távú (min. 15 éves, nyugdíj célú)</v>
      </c>
      <c r="B24" s="42"/>
      <c r="C24" s="25"/>
      <c r="D24" s="42"/>
      <c r="E24" s="25" t="str">
        <f aca="false">IF(D24=0,"",B24-D24)</f>
        <v/>
      </c>
      <c r="F24" s="30" t="str">
        <f aca="false">IF(OR($C$28=0,B24=""),"",B24/$C$28)</f>
        <v/>
      </c>
    </row>
    <row r="25" customFormat="false" ht="15" hidden="false" customHeight="false" outlineLevel="0" collapsed="false">
      <c r="A25" s="41" t="str">
        <f aca="false">IF(November!A25="","",November!A25)</f>
        <v>Nyugdíjbiztosítás</v>
      </c>
      <c r="B25" s="42"/>
      <c r="C25" s="25"/>
      <c r="D25" s="42"/>
      <c r="E25" s="25" t="str">
        <f aca="false">IF(D25=0,"",B25-D25)</f>
        <v/>
      </c>
      <c r="F25" s="30" t="str">
        <f aca="false">IF(OR($C$28=0,B25=""),"",B25/$C$28)</f>
        <v/>
      </c>
    </row>
    <row r="26" customFormat="false" ht="15" hidden="false" customHeight="false" outlineLevel="0" collapsed="false">
      <c r="A26" s="41" t="str">
        <f aca="false">IF(November!A26="","",November!A26)</f>
        <v/>
      </c>
      <c r="B26" s="42"/>
      <c r="C26" s="25"/>
      <c r="D26" s="42"/>
      <c r="E26" s="25" t="str">
        <f aca="false">IF(D26=0,"",B26-D26)</f>
        <v/>
      </c>
      <c r="F26" s="30" t="str">
        <f aca="false">IF(OR($C$28=0,B26=""),"",B26/$C$28)</f>
        <v/>
      </c>
    </row>
    <row r="27" customFormat="false" ht="15" hidden="false" customHeight="false" outlineLevel="0" collapsed="false">
      <c r="A27" s="41" t="str">
        <f aca="false">IF(November!A27="","",November!A27)</f>
        <v/>
      </c>
      <c r="B27" s="42"/>
      <c r="C27" s="25"/>
      <c r="D27" s="42"/>
      <c r="E27" s="25" t="str">
        <f aca="false">IF(D27=0,"",B27-D27)</f>
        <v/>
      </c>
      <c r="F27" s="30" t="str">
        <f aca="false">IF(OR($C$28=0,B27=""),"",B27/$C$28)</f>
        <v/>
      </c>
    </row>
    <row r="28" customFormat="false" ht="15" hidden="false" customHeight="false" outlineLevel="0" collapsed="false">
      <c r="A28" s="31" t="s">
        <v>82</v>
      </c>
      <c r="B28" s="31"/>
      <c r="C28" s="48" t="n">
        <f aca="false">SUM(B18:B27)</f>
        <v>0</v>
      </c>
      <c r="D28" s="48" t="n">
        <f aca="false">SUM(D18:D27)</f>
        <v>0</v>
      </c>
      <c r="E28" s="48" t="str">
        <f aca="false">IF(D28=0,"",C28-D28)</f>
        <v/>
      </c>
      <c r="F28" s="49" t="str">
        <f aca="false">IF($C$16=0,"",C28/$C$16)</f>
        <v/>
      </c>
    </row>
    <row r="29" customFormat="false" ht="18" hidden="false" customHeight="true" outlineLevel="0" collapsed="false">
      <c r="A29" s="33" t="s">
        <v>83</v>
      </c>
      <c r="B29" s="33"/>
      <c r="C29" s="33"/>
      <c r="D29" s="33"/>
      <c r="E29" s="33"/>
      <c r="F29" s="33"/>
    </row>
    <row r="30" customFormat="false" ht="15" hidden="false" customHeight="false" outlineLevel="0" collapsed="false">
      <c r="A30" s="39" t="s">
        <v>43</v>
      </c>
      <c r="B30" s="40"/>
      <c r="C30" s="40"/>
      <c r="D30" s="40"/>
      <c r="E30" s="40"/>
      <c r="F30" s="40"/>
    </row>
    <row r="31" customFormat="false" ht="15" hidden="false" customHeight="false" outlineLevel="0" collapsed="false">
      <c r="A31" s="41" t="str">
        <f aca="false">IF(November!A31="","",November!A31)</f>
        <v>Albérleti díj / lakáshitel</v>
      </c>
      <c r="B31" s="42"/>
      <c r="C31" s="25"/>
      <c r="D31" s="42"/>
      <c r="E31" s="25" t="str">
        <f aca="false">IF(D31=0,"",D31-B31)</f>
        <v/>
      </c>
      <c r="F31" s="30" t="str">
        <f aca="false">IF(OR($C$118=0,B31=""),"",B31/$C$118)</f>
        <v/>
      </c>
    </row>
    <row r="32" customFormat="false" ht="15" hidden="false" customHeight="false" outlineLevel="0" collapsed="false">
      <c r="A32" s="41" t="str">
        <f aca="false">IF(November!A32="","",November!A32)</f>
        <v>Rezsi (közművek, közös költség)</v>
      </c>
      <c r="B32" s="42"/>
      <c r="C32" s="25"/>
      <c r="D32" s="42"/>
      <c r="E32" s="25" t="str">
        <f aca="false">IF(D32=0,"",D32-B32)</f>
        <v/>
      </c>
      <c r="F32" s="30" t="str">
        <f aca="false">IF(OR($C$118=0,B32=""),"",B32/$C$118)</f>
        <v/>
      </c>
    </row>
    <row r="33" customFormat="false" ht="15" hidden="false" customHeight="false" outlineLevel="0" collapsed="false">
      <c r="A33" s="41" t="str">
        <f aca="false">IF(November!A33="","",November!A33)</f>
        <v>Telefon, internet, digitális előfizetések</v>
      </c>
      <c r="B33" s="42"/>
      <c r="C33" s="25"/>
      <c r="D33" s="42"/>
      <c r="E33" s="25" t="str">
        <f aca="false">IF(D33=0,"",D33-B33)</f>
        <v/>
      </c>
      <c r="F33" s="30" t="str">
        <f aca="false">IF(OR($C$118=0,B33=""),"",B33/$C$118)</f>
        <v/>
      </c>
    </row>
    <row r="34" customFormat="false" ht="15" hidden="false" customHeight="false" outlineLevel="0" collapsed="false">
      <c r="A34" s="41" t="str">
        <f aca="false">IF(November!A34="","",November!A34)</f>
        <v/>
      </c>
      <c r="B34" s="42"/>
      <c r="C34" s="25"/>
      <c r="D34" s="42"/>
      <c r="E34" s="25" t="str">
        <f aca="false">IF(D34=0,"",D34-B34)</f>
        <v/>
      </c>
      <c r="F34" s="30" t="str">
        <f aca="false">IF(OR($C$118=0,B34=""),"",B34/$C$118)</f>
        <v/>
      </c>
    </row>
    <row r="35" customFormat="false" ht="15" hidden="false" customHeight="false" outlineLevel="0" collapsed="false">
      <c r="A35" s="43" t="s">
        <v>87</v>
      </c>
      <c r="B35" s="35"/>
      <c r="C35" s="44" t="n">
        <f aca="false">SUM(B31:B34)</f>
        <v>0</v>
      </c>
      <c r="D35" s="44" t="n">
        <f aca="false">SUM(D31:D34)</f>
        <v>0</v>
      </c>
      <c r="E35" s="44" t="str">
        <f aca="false">IF(D35=0,"",D35-C35)</f>
        <v/>
      </c>
      <c r="F35" s="45" t="str">
        <f aca="false">IF(OR($C$118=0,C35=""),"",C35/$C$118)</f>
        <v/>
      </c>
    </row>
    <row r="36" customFormat="false" ht="15" hidden="false" customHeight="false" outlineLevel="0" collapsed="false">
      <c r="A36" s="39" t="s">
        <v>44</v>
      </c>
      <c r="B36" s="40"/>
      <c r="C36" s="40"/>
      <c r="D36" s="40"/>
      <c r="E36" s="40"/>
      <c r="F36" s="40"/>
    </row>
    <row r="37" customFormat="false" ht="15" hidden="false" customHeight="false" outlineLevel="0" collapsed="false">
      <c r="A37" s="41" t="str">
        <f aca="false">IF(November!A37="","",November!A37)</f>
        <v>Nagybevásárlások</v>
      </c>
      <c r="B37" s="42"/>
      <c r="C37" s="25"/>
      <c r="D37" s="42"/>
      <c r="E37" s="25" t="str">
        <f aca="false">IF(D37=0,"",D37-B37)</f>
        <v/>
      </c>
      <c r="F37" s="30" t="str">
        <f aca="false">IF(OR($C$118=0,B37=""),"",B37/$C$118)</f>
        <v/>
      </c>
    </row>
    <row r="38" customFormat="false" ht="15" hidden="false" customHeight="false" outlineLevel="0" collapsed="false">
      <c r="A38" s="41" t="str">
        <f aca="false">IF(November!A38="","",November!A38)</f>
        <v>Drogéria</v>
      </c>
      <c r="B38" s="42"/>
      <c r="C38" s="25"/>
      <c r="D38" s="42"/>
      <c r="E38" s="25" t="str">
        <f aca="false">IF(D38=0,"",D38-B38)</f>
        <v/>
      </c>
      <c r="F38" s="30" t="str">
        <f aca="false">IF(OR($C$118=0,B38=""),"",B38/$C$118)</f>
        <v/>
      </c>
    </row>
    <row r="39" customFormat="false" ht="15" hidden="false" customHeight="false" outlineLevel="0" collapsed="false">
      <c r="A39" s="41" t="str">
        <f aca="false">IF(November!A39="","",November!A39)</f>
        <v>Ételrendelés</v>
      </c>
      <c r="B39" s="42"/>
      <c r="C39" s="25"/>
      <c r="D39" s="42"/>
      <c r="E39" s="25" t="str">
        <f aca="false">IF(D39=0,"",D39-B39)</f>
        <v/>
      </c>
      <c r="F39" s="30" t="str">
        <f aca="false">IF(OR($C$118=0,B39=""),"",B39/$C$118)</f>
        <v/>
      </c>
    </row>
    <row r="40" customFormat="false" ht="15" hidden="false" customHeight="false" outlineLevel="0" collapsed="false">
      <c r="A40" s="41" t="str">
        <f aca="false">IF(November!A40="","",November!A40)</f>
        <v>Egyéb élelmiszer, bevásárlás</v>
      </c>
      <c r="B40" s="42"/>
      <c r="C40" s="25"/>
      <c r="D40" s="42"/>
      <c r="E40" s="25" t="str">
        <f aca="false">IF(D40=0,"",D40-B40)</f>
        <v/>
      </c>
      <c r="F40" s="30" t="str">
        <f aca="false">IF(OR($C$118=0,B40=""),"",B40/$C$118)</f>
        <v/>
      </c>
    </row>
    <row r="41" customFormat="false" ht="15" hidden="false" customHeight="false" outlineLevel="0" collapsed="false">
      <c r="A41" s="41" t="str">
        <f aca="false">IF(November!A41="","",November!A41)</f>
        <v/>
      </c>
      <c r="B41" s="42"/>
      <c r="C41" s="25"/>
      <c r="D41" s="42"/>
      <c r="E41" s="25" t="str">
        <f aca="false">IF(D41=0,"",D41-B41)</f>
        <v/>
      </c>
      <c r="F41" s="30" t="str">
        <f aca="false">IF(OR($C$118=0,B41=""),"",B41/$C$118)</f>
        <v/>
      </c>
    </row>
    <row r="42" customFormat="false" ht="15" hidden="false" customHeight="false" outlineLevel="0" collapsed="false">
      <c r="A42" s="43" t="s">
        <v>92</v>
      </c>
      <c r="B42" s="35"/>
      <c r="C42" s="44" t="n">
        <f aca="false">SUM(B37:B41)</f>
        <v>0</v>
      </c>
      <c r="D42" s="44" t="n">
        <f aca="false">SUM(D37:D41)</f>
        <v>0</v>
      </c>
      <c r="E42" s="44" t="str">
        <f aca="false">IF(D42=0,"",D42-C42)</f>
        <v/>
      </c>
      <c r="F42" s="45" t="str">
        <f aca="false">IF(OR($C$118=0,C42=""),"",C42/$C$118)</f>
        <v/>
      </c>
    </row>
    <row r="43" customFormat="false" ht="15" hidden="false" customHeight="false" outlineLevel="0" collapsed="false">
      <c r="A43" s="39" t="s">
        <v>45</v>
      </c>
      <c r="B43" s="40"/>
      <c r="C43" s="40"/>
      <c r="D43" s="40"/>
      <c r="E43" s="40"/>
      <c r="F43" s="40"/>
    </row>
    <row r="44" customFormat="false" ht="15" hidden="false" customHeight="false" outlineLevel="0" collapsed="false">
      <c r="A44" s="41" t="str">
        <f aca="false">IF(November!A44="","",November!A44)</f>
        <v>Lakásbiztosítás</v>
      </c>
      <c r="B44" s="42"/>
      <c r="C44" s="25"/>
      <c r="D44" s="42"/>
      <c r="E44" s="25" t="str">
        <f aca="false">IF(D44=0,"",D44-B44)</f>
        <v/>
      </c>
      <c r="F44" s="30" t="str">
        <f aca="false">IF(OR($C$118=0,B44=""),"",B44/$C$118)</f>
        <v/>
      </c>
    </row>
    <row r="45" customFormat="false" ht="15" hidden="false" customHeight="false" outlineLevel="0" collapsed="false">
      <c r="A45" s="41" t="str">
        <f aca="false">IF(November!A45="","",November!A45)</f>
        <v>Életbiztosítás</v>
      </c>
      <c r="B45" s="42"/>
      <c r="C45" s="25"/>
      <c r="D45" s="42"/>
      <c r="E45" s="25" t="str">
        <f aca="false">IF(D45=0,"",D45-B45)</f>
        <v/>
      </c>
      <c r="F45" s="30" t="str">
        <f aca="false">IF(OR($C$118=0,B45=""),"",B45/$C$118)</f>
        <v/>
      </c>
    </row>
    <row r="46" customFormat="false" ht="15" hidden="false" customHeight="false" outlineLevel="0" collapsed="false">
      <c r="A46" s="41" t="str">
        <f aca="false">IF(November!A46="","",November!A46)</f>
        <v>Baleset- és betegségbiztosítás</v>
      </c>
      <c r="B46" s="42"/>
      <c r="C46" s="25"/>
      <c r="D46" s="42"/>
      <c r="E46" s="25" t="str">
        <f aca="false">IF(D46=0,"",D46-B46)</f>
        <v/>
      </c>
      <c r="F46" s="30" t="str">
        <f aca="false">IF(OR($C$118=0,B46=""),"",B46/$C$118)</f>
        <v/>
      </c>
    </row>
    <row r="47" customFormat="false" ht="15" hidden="false" customHeight="false" outlineLevel="0" collapsed="false">
      <c r="A47" s="41" t="str">
        <f aca="false">IF(November!A47="","",November!A47)</f>
        <v>Egészségbiztosítás</v>
      </c>
      <c r="B47" s="42"/>
      <c r="C47" s="25"/>
      <c r="D47" s="42"/>
      <c r="E47" s="25" t="str">
        <f aca="false">IF(D47=0,"",D47-B47)</f>
        <v/>
      </c>
      <c r="F47" s="30" t="str">
        <f aca="false">IF(OR($C$118=0,B47=""),"",B47/$C$118)</f>
        <v/>
      </c>
    </row>
    <row r="48" customFormat="false" ht="15" hidden="false" customHeight="false" outlineLevel="0" collapsed="false">
      <c r="A48" s="41" t="str">
        <f aca="false">IF(November!A48="","",November!A48)</f>
        <v>Hiteltörlesztés</v>
      </c>
      <c r="B48" s="42"/>
      <c r="C48" s="25"/>
      <c r="D48" s="42"/>
      <c r="E48" s="25" t="str">
        <f aca="false">IF(D48=0,"",D48-B48)</f>
        <v/>
      </c>
      <c r="F48" s="30" t="str">
        <f aca="false">IF(OR($C$118=0,B48=""),"",B48/$C$118)</f>
        <v/>
      </c>
    </row>
    <row r="49" customFormat="false" ht="15" hidden="false" customHeight="false" outlineLevel="0" collapsed="false">
      <c r="A49" s="41" t="str">
        <f aca="false">IF(November!A49="","",November!A49)</f>
        <v>Egyéb szerződés</v>
      </c>
      <c r="B49" s="42"/>
      <c r="C49" s="25"/>
      <c r="D49" s="42"/>
      <c r="E49" s="25" t="str">
        <f aca="false">IF(D49=0,"",D49-B49)</f>
        <v/>
      </c>
      <c r="F49" s="30" t="str">
        <f aca="false">IF(OR($C$118=0,B49=""),"",B49/$C$118)</f>
        <v/>
      </c>
    </row>
    <row r="50" customFormat="false" ht="15" hidden="false" customHeight="false" outlineLevel="0" collapsed="false">
      <c r="A50" s="41" t="str">
        <f aca="false">IF(November!A50="","",November!A50)</f>
        <v/>
      </c>
      <c r="B50" s="42"/>
      <c r="C50" s="25"/>
      <c r="D50" s="42"/>
      <c r="E50" s="25" t="str">
        <f aca="false">IF(D50=0,"",D50-B50)</f>
        <v/>
      </c>
      <c r="F50" s="30" t="str">
        <f aca="false">IF(OR($C$118=0,B50=""),"",B50/$C$118)</f>
        <v/>
      </c>
    </row>
    <row r="51" customFormat="false" ht="15" hidden="false" customHeight="false" outlineLevel="0" collapsed="false">
      <c r="A51" s="41" t="str">
        <f aca="false">IF(November!A51="","",November!A51)</f>
        <v/>
      </c>
      <c r="B51" s="42"/>
      <c r="C51" s="25"/>
      <c r="D51" s="42"/>
      <c r="E51" s="25" t="str">
        <f aca="false">IF(D51=0,"",D51-B51)</f>
        <v/>
      </c>
      <c r="F51" s="30" t="str">
        <f aca="false">IF(OR($C$118=0,B51=""),"",B51/$C$118)</f>
        <v/>
      </c>
    </row>
    <row r="52" customFormat="false" ht="15" hidden="false" customHeight="false" outlineLevel="0" collapsed="false">
      <c r="A52" s="43" t="s">
        <v>99</v>
      </c>
      <c r="B52" s="35"/>
      <c r="C52" s="44" t="n">
        <f aca="false">SUM(B44:B51)</f>
        <v>0</v>
      </c>
      <c r="D52" s="44" t="n">
        <f aca="false">SUM(D44:D51)</f>
        <v>0</v>
      </c>
      <c r="E52" s="44" t="str">
        <f aca="false">IF(D52=0,"",D52-C52)</f>
        <v/>
      </c>
      <c r="F52" s="45" t="str">
        <f aca="false">IF(OR($C$118=0,C52=""),"",C52/$C$118)</f>
        <v/>
      </c>
    </row>
    <row r="53" customFormat="false" ht="15" hidden="false" customHeight="false" outlineLevel="0" collapsed="false">
      <c r="A53" s="39" t="s">
        <v>46</v>
      </c>
      <c r="B53" s="40"/>
      <c r="C53" s="40"/>
      <c r="D53" s="40"/>
      <c r="E53" s="40"/>
      <c r="F53" s="40"/>
    </row>
    <row r="54" customFormat="false" ht="15" hidden="false" customHeight="false" outlineLevel="0" collapsed="false">
      <c r="A54" s="41" t="str">
        <f aca="false">IF(November!A54="","",November!A54)</f>
        <v>Üzemanyag, elektromos töltés</v>
      </c>
      <c r="B54" s="42"/>
      <c r="C54" s="25"/>
      <c r="D54" s="42"/>
      <c r="E54" s="25" t="str">
        <f aca="false">IF(D54=0,"",D54-B54)</f>
        <v/>
      </c>
      <c r="F54" s="30" t="str">
        <f aca="false">IF(OR($C$118=0,B54=""),"",B54/$C$118)</f>
        <v/>
      </c>
    </row>
    <row r="55" customFormat="false" ht="15" hidden="false" customHeight="false" outlineLevel="0" collapsed="false">
      <c r="A55" s="41" t="str">
        <f aca="false">IF(November!A55="","",November!A55)</f>
        <v>Parkolás, útdíj, autópálya-matrica</v>
      </c>
      <c r="B55" s="42"/>
      <c r="C55" s="25"/>
      <c r="D55" s="42"/>
      <c r="E55" s="25" t="str">
        <f aca="false">IF(D55=0,"",D55-B55)</f>
        <v/>
      </c>
      <c r="F55" s="30" t="str">
        <f aca="false">IF(OR($C$118=0,B55=""),"",B55/$C$118)</f>
        <v/>
      </c>
    </row>
    <row r="56" customFormat="false" ht="15" hidden="false" customHeight="false" outlineLevel="0" collapsed="false">
      <c r="A56" s="41" t="str">
        <f aca="false">IF(November!A56="","",November!A56)</f>
        <v>Szerviz, karbantartás, gumicsere</v>
      </c>
      <c r="B56" s="42"/>
      <c r="C56" s="25"/>
      <c r="D56" s="42"/>
      <c r="E56" s="25" t="str">
        <f aca="false">IF(D56=0,"",D56-B56)</f>
        <v/>
      </c>
      <c r="F56" s="30" t="str">
        <f aca="false">IF(OR($C$118=0,B56=""),"",B56/$C$118)</f>
        <v/>
      </c>
    </row>
    <row r="57" customFormat="false" ht="15" hidden="false" customHeight="false" outlineLevel="0" collapsed="false">
      <c r="A57" s="41" t="str">
        <f aca="false">IF(November!A57="","",November!A57)</f>
        <v>KGFB (kötelező biztosítás)</v>
      </c>
      <c r="B57" s="42"/>
      <c r="C57" s="25"/>
      <c r="D57" s="42"/>
      <c r="E57" s="25" t="str">
        <f aca="false">IF(D57=0,"",D57-B57)</f>
        <v/>
      </c>
      <c r="F57" s="30" t="str">
        <f aca="false">IF(OR($C$118=0,B57=""),"",B57/$C$118)</f>
        <v/>
      </c>
    </row>
    <row r="58" customFormat="false" ht="15" hidden="false" customHeight="false" outlineLevel="0" collapsed="false">
      <c r="A58" s="41" t="str">
        <f aca="false">IF(November!A58="","",November!A58)</f>
        <v>CASCO</v>
      </c>
      <c r="B58" s="42"/>
      <c r="C58" s="25"/>
      <c r="D58" s="42"/>
      <c r="E58" s="25" t="str">
        <f aca="false">IF(D58=0,"",D58-B58)</f>
        <v/>
      </c>
      <c r="F58" s="30" t="str">
        <f aca="false">IF(OR($C$118=0,B58=""),"",B58/$C$118)</f>
        <v/>
      </c>
    </row>
    <row r="59" customFormat="false" ht="15" hidden="false" customHeight="false" outlineLevel="0" collapsed="false">
      <c r="A59" s="41" t="str">
        <f aca="false">IF(November!A59="","",November!A59)</f>
        <v>Gépjárműadó</v>
      </c>
      <c r="B59" s="42"/>
      <c r="C59" s="25"/>
      <c r="D59" s="42"/>
      <c r="E59" s="25" t="str">
        <f aca="false">IF(D59=0,"",D59-B59)</f>
        <v/>
      </c>
      <c r="F59" s="30" t="str">
        <f aca="false">IF(OR($C$118=0,B59=""),"",B59/$C$118)</f>
        <v/>
      </c>
    </row>
    <row r="60" customFormat="false" ht="15" hidden="false" customHeight="false" outlineLevel="0" collapsed="false">
      <c r="A60" s="41" t="str">
        <f aca="false">IF(November!A60="","",November!A60)</f>
        <v>Autóhitel, lízing részlet</v>
      </c>
      <c r="B60" s="42"/>
      <c r="C60" s="25"/>
      <c r="D60" s="42"/>
      <c r="E60" s="25" t="str">
        <f aca="false">IF(D60=0,"",D60-B60)</f>
        <v/>
      </c>
      <c r="F60" s="30" t="str">
        <f aca="false">IF(OR($C$118=0,B60=""),"",B60/$C$118)</f>
        <v/>
      </c>
    </row>
    <row r="61" customFormat="false" ht="15" hidden="false" customHeight="false" outlineLevel="0" collapsed="false">
      <c r="A61" s="41" t="str">
        <f aca="false">IF(November!A61="","",November!A61)</f>
        <v>Autómosás, egyéb autós költség</v>
      </c>
      <c r="B61" s="42"/>
      <c r="C61" s="25"/>
      <c r="D61" s="42"/>
      <c r="E61" s="25" t="str">
        <f aca="false">IF(D61=0,"",D61-B61)</f>
        <v/>
      </c>
      <c r="F61" s="30" t="str">
        <f aca="false">IF(OR($C$118=0,B61=""),"",B61/$C$118)</f>
        <v/>
      </c>
    </row>
    <row r="62" customFormat="false" ht="15" hidden="false" customHeight="false" outlineLevel="0" collapsed="false">
      <c r="A62" s="41" t="str">
        <f aca="false">IF(November!A62="","",November!A62)</f>
        <v>Tömegközlekedés, bérlet</v>
      </c>
      <c r="B62" s="42"/>
      <c r="C62" s="25"/>
      <c r="D62" s="42"/>
      <c r="E62" s="25" t="str">
        <f aca="false">IF(D62=0,"",D62-B62)</f>
        <v/>
      </c>
      <c r="F62" s="30" t="str">
        <f aca="false">IF(OR($C$118=0,B62=""),"",B62/$C$118)</f>
        <v/>
      </c>
    </row>
    <row r="63" customFormat="false" ht="15" hidden="false" customHeight="false" outlineLevel="0" collapsed="false">
      <c r="A63" s="41" t="str">
        <f aca="false">IF(November!A63="","",November!A63)</f>
        <v>Taxi, roller, bicikli, közösségi közlekedés</v>
      </c>
      <c r="B63" s="42"/>
      <c r="C63" s="25"/>
      <c r="D63" s="42"/>
      <c r="E63" s="25" t="str">
        <f aca="false">IF(D63=0,"",D63-B63)</f>
        <v/>
      </c>
      <c r="F63" s="30" t="str">
        <f aca="false">IF(OR($C$118=0,B63=""),"",B63/$C$118)</f>
        <v/>
      </c>
    </row>
    <row r="64" customFormat="false" ht="15" hidden="false" customHeight="false" outlineLevel="0" collapsed="false">
      <c r="A64" s="41" t="str">
        <f aca="false">IF(November!A64="","",November!A64)</f>
        <v/>
      </c>
      <c r="B64" s="42"/>
      <c r="C64" s="25"/>
      <c r="D64" s="42"/>
      <c r="E64" s="25" t="str">
        <f aca="false">IF(D64=0,"",D64-B64)</f>
        <v/>
      </c>
      <c r="F64" s="30" t="str">
        <f aca="false">IF(OR($C$118=0,B64=""),"",B64/$C$118)</f>
        <v/>
      </c>
    </row>
    <row r="65" customFormat="false" ht="15" hidden="false" customHeight="false" outlineLevel="0" collapsed="false">
      <c r="A65" s="41" t="str">
        <f aca="false">IF(November!A65="","",November!A65)</f>
        <v/>
      </c>
      <c r="B65" s="42"/>
      <c r="C65" s="25"/>
      <c r="D65" s="42"/>
      <c r="E65" s="25" t="str">
        <f aca="false">IF(D65=0,"",D65-B65)</f>
        <v/>
      </c>
      <c r="F65" s="30" t="str">
        <f aca="false">IF(OR($C$118=0,B65=""),"",B65/$C$118)</f>
        <v/>
      </c>
    </row>
    <row r="66" customFormat="false" ht="15" hidden="false" customHeight="false" outlineLevel="0" collapsed="false">
      <c r="A66" s="43" t="s">
        <v>110</v>
      </c>
      <c r="B66" s="35"/>
      <c r="C66" s="44" t="n">
        <f aca="false">SUM(B54:B65)</f>
        <v>0</v>
      </c>
      <c r="D66" s="44" t="n">
        <f aca="false">SUM(D54:D65)</f>
        <v>0</v>
      </c>
      <c r="E66" s="44" t="str">
        <f aca="false">IF(D66=0,"",D66-C66)</f>
        <v/>
      </c>
      <c r="F66" s="45" t="str">
        <f aca="false">IF(OR($C$118=0,C66=""),"",C66/$C$118)</f>
        <v/>
      </c>
    </row>
    <row r="67" customFormat="false" ht="15" hidden="false" customHeight="false" outlineLevel="0" collapsed="false">
      <c r="A67" s="39" t="s">
        <v>47</v>
      </c>
      <c r="B67" s="40"/>
      <c r="C67" s="40"/>
      <c r="D67" s="40"/>
      <c r="E67" s="40"/>
      <c r="F67" s="40"/>
    </row>
    <row r="68" customFormat="false" ht="15" hidden="false" customHeight="false" outlineLevel="0" collapsed="false">
      <c r="A68" s="41" t="str">
        <f aca="false">IF(November!A68="","",November!A68)</f>
        <v>Gyerek ruha, cipő</v>
      </c>
      <c r="B68" s="42"/>
      <c r="C68" s="25"/>
      <c r="D68" s="42"/>
      <c r="E68" s="25" t="str">
        <f aca="false">IF(D68=0,"",D68-B68)</f>
        <v/>
      </c>
      <c r="F68" s="30" t="str">
        <f aca="false">IF(OR($C$118=0,B68=""),"",B68/$C$118)</f>
        <v/>
      </c>
    </row>
    <row r="69" customFormat="false" ht="15" hidden="false" customHeight="false" outlineLevel="0" collapsed="false">
      <c r="A69" s="41" t="str">
        <f aca="false">IF(November!A69="","",November!A69)</f>
        <v>Gyerek étkeztetés (menza)</v>
      </c>
      <c r="B69" s="42"/>
      <c r="C69" s="25"/>
      <c r="D69" s="42"/>
      <c r="E69" s="25" t="str">
        <f aca="false">IF(D69=0,"",D69-B69)</f>
        <v/>
      </c>
      <c r="F69" s="30" t="str">
        <f aca="false">IF(OR($C$118=0,B69=""),"",B69/$C$118)</f>
        <v/>
      </c>
    </row>
    <row r="70" customFormat="false" ht="15" hidden="false" customHeight="false" outlineLevel="0" collapsed="false">
      <c r="A70" s="41" t="str">
        <f aca="false">IF(November!A70="","",November!A70)</f>
        <v>Bölcsőde, óvoda, iskola díjai</v>
      </c>
      <c r="B70" s="42"/>
      <c r="C70" s="25"/>
      <c r="D70" s="42"/>
      <c r="E70" s="25" t="str">
        <f aca="false">IF(D70=0,"",D70-B70)</f>
        <v/>
      </c>
      <c r="F70" s="30" t="str">
        <f aca="false">IF(OR($C$118=0,B70=""),"",B70/$C$118)</f>
        <v/>
      </c>
    </row>
    <row r="71" customFormat="false" ht="15" hidden="false" customHeight="false" outlineLevel="0" collapsed="false">
      <c r="A71" s="41" t="str">
        <f aca="false">IF(November!A71="","",November!A71)</f>
        <v>Tankönyv, tanszer</v>
      </c>
      <c r="B71" s="42"/>
      <c r="C71" s="25"/>
      <c r="D71" s="42"/>
      <c r="E71" s="25" t="str">
        <f aca="false">IF(D71=0,"",D71-B71)</f>
        <v/>
      </c>
      <c r="F71" s="30" t="str">
        <f aca="false">IF(OR($C$118=0,B71=""),"",B71/$C$118)</f>
        <v/>
      </c>
    </row>
    <row r="72" customFormat="false" ht="15" hidden="false" customHeight="false" outlineLevel="0" collapsed="false">
      <c r="A72" s="41" t="str">
        <f aca="false">IF(November!A72="","",November!A72)</f>
        <v>Különórák, edzések</v>
      </c>
      <c r="B72" s="42"/>
      <c r="C72" s="25"/>
      <c r="D72" s="42"/>
      <c r="E72" s="25" t="str">
        <f aca="false">IF(D72=0,"",D72-B72)</f>
        <v/>
      </c>
      <c r="F72" s="30" t="str">
        <f aca="false">IF(OR($C$118=0,B72=""),"",B72/$C$118)</f>
        <v/>
      </c>
    </row>
    <row r="73" customFormat="false" ht="15" hidden="false" customHeight="false" outlineLevel="0" collapsed="false">
      <c r="A73" s="41" t="str">
        <f aca="false">IF(November!A73="","",November!A73)</f>
        <v>Magánóra, korrepetálás</v>
      </c>
      <c r="B73" s="42"/>
      <c r="C73" s="25"/>
      <c r="D73" s="42"/>
      <c r="E73" s="25" t="str">
        <f aca="false">IF(D73=0,"",D73-B73)</f>
        <v/>
      </c>
      <c r="F73" s="30" t="str">
        <f aca="false">IF(OR($C$118=0,B73=""),"",B73/$C$118)</f>
        <v/>
      </c>
    </row>
    <row r="74" customFormat="false" ht="15" hidden="false" customHeight="false" outlineLevel="0" collapsed="false">
      <c r="A74" s="41" t="str">
        <f aca="false">IF(November!A74="","",November!A74)</f>
        <v>Zsebpénz</v>
      </c>
      <c r="B74" s="42"/>
      <c r="C74" s="25"/>
      <c r="D74" s="42"/>
      <c r="E74" s="25" t="str">
        <f aca="false">IF(D74=0,"",D74-B74)</f>
        <v/>
      </c>
      <c r="F74" s="30" t="str">
        <f aca="false">IF(OR($C$118=0,B74=""),"",B74/$C$118)</f>
        <v/>
      </c>
    </row>
    <row r="75" customFormat="false" ht="15" hidden="false" customHeight="false" outlineLevel="0" collapsed="false">
      <c r="A75" s="41" t="str">
        <f aca="false">IF(November!A75="","",November!A75)</f>
        <v>Játékok, szórakozás</v>
      </c>
      <c r="B75" s="42"/>
      <c r="C75" s="25"/>
      <c r="D75" s="42"/>
      <c r="E75" s="25" t="str">
        <f aca="false">IF(D75=0,"",D75-B75)</f>
        <v/>
      </c>
      <c r="F75" s="30" t="str">
        <f aca="false">IF(OR($C$118=0,B75=""),"",B75/$C$118)</f>
        <v/>
      </c>
    </row>
    <row r="76" customFormat="false" ht="15" hidden="false" customHeight="false" outlineLevel="0" collapsed="false">
      <c r="A76" s="41" t="str">
        <f aca="false">IF(November!A76="","",November!A76)</f>
        <v/>
      </c>
      <c r="B76" s="42"/>
      <c r="C76" s="25"/>
      <c r="D76" s="42"/>
      <c r="E76" s="25" t="str">
        <f aca="false">IF(D76=0,"",D76-B76)</f>
        <v/>
      </c>
      <c r="F76" s="30" t="str">
        <f aca="false">IF(OR($C$118=0,B76=""),"",B76/$C$118)</f>
        <v/>
      </c>
    </row>
    <row r="77" customFormat="false" ht="15" hidden="false" customHeight="false" outlineLevel="0" collapsed="false">
      <c r="A77" s="41" t="str">
        <f aca="false">IF(November!A77="","",November!A77)</f>
        <v/>
      </c>
      <c r="B77" s="42"/>
      <c r="C77" s="25"/>
      <c r="D77" s="42"/>
      <c r="E77" s="25" t="str">
        <f aca="false">IF(D77=0,"",D77-B77)</f>
        <v/>
      </c>
      <c r="F77" s="30" t="str">
        <f aca="false">IF(OR($C$118=0,B77=""),"",B77/$C$118)</f>
        <v/>
      </c>
    </row>
    <row r="78" customFormat="false" ht="15" hidden="false" customHeight="false" outlineLevel="0" collapsed="false">
      <c r="A78" s="41" t="str">
        <f aca="false">IF(November!A78="","",November!A78)</f>
        <v/>
      </c>
      <c r="B78" s="42"/>
      <c r="C78" s="25"/>
      <c r="D78" s="42"/>
      <c r="E78" s="25" t="str">
        <f aca="false">IF(D78=0,"",D78-B78)</f>
        <v/>
      </c>
      <c r="F78" s="30" t="str">
        <f aca="false">IF(OR($C$118=0,B78=""),"",B78/$C$118)</f>
        <v/>
      </c>
    </row>
    <row r="79" customFormat="false" ht="15" hidden="false" customHeight="false" outlineLevel="0" collapsed="false">
      <c r="A79" s="43" t="s">
        <v>119</v>
      </c>
      <c r="B79" s="35"/>
      <c r="C79" s="44" t="n">
        <f aca="false">SUM(B68:B78)</f>
        <v>0</v>
      </c>
      <c r="D79" s="44" t="n">
        <f aca="false">SUM(D68:D78)</f>
        <v>0</v>
      </c>
      <c r="E79" s="44" t="str">
        <f aca="false">IF(D79=0,"",D79-C79)</f>
        <v/>
      </c>
      <c r="F79" s="45" t="str">
        <f aca="false">IF(OR($C$118=0,C79=""),"",C79/$C$118)</f>
        <v/>
      </c>
    </row>
    <row r="80" customFormat="false" ht="15" hidden="false" customHeight="false" outlineLevel="0" collapsed="false">
      <c r="A80" s="39" t="s">
        <v>48</v>
      </c>
      <c r="B80" s="40"/>
      <c r="C80" s="40"/>
      <c r="D80" s="40"/>
      <c r="E80" s="40"/>
      <c r="F80" s="40"/>
    </row>
    <row r="81" customFormat="false" ht="15" hidden="false" customHeight="false" outlineLevel="0" collapsed="false">
      <c r="A81" s="41" t="str">
        <f aca="false">IF(November!A81="","",November!A81)</f>
        <v>Ruha</v>
      </c>
      <c r="B81" s="42"/>
      <c r="C81" s="25"/>
      <c r="D81" s="42"/>
      <c r="E81" s="25" t="str">
        <f aca="false">IF(D81=0,"",D81-B81)</f>
        <v/>
      </c>
      <c r="F81" s="30" t="str">
        <f aca="false">IF(OR($C$118=0,B81=""),"",B81/$C$118)</f>
        <v/>
      </c>
    </row>
    <row r="82" customFormat="false" ht="15" hidden="false" customHeight="false" outlineLevel="0" collapsed="false">
      <c r="A82" s="41" t="str">
        <f aca="false">IF(November!A82="","",November!A82)</f>
        <v>Cipő</v>
      </c>
      <c r="B82" s="42"/>
      <c r="C82" s="25"/>
      <c r="D82" s="42"/>
      <c r="E82" s="25" t="str">
        <f aca="false">IF(D82=0,"",D82-B82)</f>
        <v/>
      </c>
      <c r="F82" s="30" t="str">
        <f aca="false">IF(OR($C$118=0,B82=""),"",B82/$C$118)</f>
        <v/>
      </c>
    </row>
    <row r="83" customFormat="false" ht="15" hidden="false" customHeight="false" outlineLevel="0" collapsed="false">
      <c r="A83" s="41" t="str">
        <f aca="false">IF(November!A83="","",November!A83)</f>
        <v>Kiegészítők (táska, ékszer, óra)</v>
      </c>
      <c r="B83" s="42"/>
      <c r="C83" s="25"/>
      <c r="D83" s="42"/>
      <c r="E83" s="25" t="str">
        <f aca="false">IF(D83=0,"",D83-B83)</f>
        <v/>
      </c>
      <c r="F83" s="30" t="str">
        <f aca="false">IF(OR($C$118=0,B83=""),"",B83/$C$118)</f>
        <v/>
      </c>
    </row>
    <row r="84" customFormat="false" ht="15" hidden="false" customHeight="false" outlineLevel="0" collapsed="false">
      <c r="A84" s="41" t="str">
        <f aca="false">IF(November!A84="","",November!A84)</f>
        <v/>
      </c>
      <c r="B84" s="42"/>
      <c r="C84" s="25"/>
      <c r="D84" s="42"/>
      <c r="E84" s="25" t="str">
        <f aca="false">IF(D84=0,"",D84-B84)</f>
        <v/>
      </c>
      <c r="F84" s="30" t="str">
        <f aca="false">IF(OR($C$118=0,B84=""),"",B84/$C$118)</f>
        <v/>
      </c>
    </row>
    <row r="85" customFormat="false" ht="15" hidden="false" customHeight="false" outlineLevel="0" collapsed="false">
      <c r="A85" s="43" t="s">
        <v>123</v>
      </c>
      <c r="B85" s="35"/>
      <c r="C85" s="44" t="n">
        <f aca="false">SUM(B81:B84)</f>
        <v>0</v>
      </c>
      <c r="D85" s="44" t="n">
        <f aca="false">SUM(D81:D84)</f>
        <v>0</v>
      </c>
      <c r="E85" s="44" t="str">
        <f aca="false">IF(D85=0,"",D85-C85)</f>
        <v/>
      </c>
      <c r="F85" s="45" t="str">
        <f aca="false">IF(OR($C$118=0,C85=""),"",C85/$C$118)</f>
        <v/>
      </c>
    </row>
    <row r="86" customFormat="false" ht="15" hidden="false" customHeight="false" outlineLevel="0" collapsed="false">
      <c r="A86" s="39" t="s">
        <v>49</v>
      </c>
      <c r="B86" s="40"/>
      <c r="C86" s="40"/>
      <c r="D86" s="40"/>
      <c r="E86" s="40"/>
      <c r="F86" s="40"/>
    </row>
    <row r="87" customFormat="false" ht="15" hidden="false" customHeight="false" outlineLevel="0" collapsed="false">
      <c r="A87" s="41" t="str">
        <f aca="false">IF(November!A87="","",November!A87)</f>
        <v>Fodrász, borbély</v>
      </c>
      <c r="B87" s="42"/>
      <c r="C87" s="25"/>
      <c r="D87" s="42"/>
      <c r="E87" s="25" t="str">
        <f aca="false">IF(D87=0,"",D87-B87)</f>
        <v/>
      </c>
      <c r="F87" s="30" t="str">
        <f aca="false">IF(OR($C$118=0,B87=""),"",B87/$C$118)</f>
        <v/>
      </c>
    </row>
    <row r="88" customFormat="false" ht="15" hidden="false" customHeight="false" outlineLevel="0" collapsed="false">
      <c r="A88" s="41" t="str">
        <f aca="false">IF(November!A88="","",November!A88)</f>
        <v>Kozmetikus, manikűr, pedikűr</v>
      </c>
      <c r="B88" s="42"/>
      <c r="C88" s="25"/>
      <c r="D88" s="42"/>
      <c r="E88" s="25" t="str">
        <f aca="false">IF(D88=0,"",D88-B88)</f>
        <v/>
      </c>
      <c r="F88" s="30" t="str">
        <f aca="false">IF(OR($C$118=0,B88=""),"",B88/$C$118)</f>
        <v/>
      </c>
    </row>
    <row r="89" customFormat="false" ht="15" hidden="false" customHeight="false" outlineLevel="0" collapsed="false">
      <c r="A89" s="41" t="str">
        <f aca="false">IF(November!A89="","",November!A89)</f>
        <v>Kozmetikumok, parfüm</v>
      </c>
      <c r="B89" s="42"/>
      <c r="C89" s="25"/>
      <c r="D89" s="42"/>
      <c r="E89" s="25" t="str">
        <f aca="false">IF(D89=0,"",D89-B89)</f>
        <v/>
      </c>
      <c r="F89" s="30" t="str">
        <f aca="false">IF(OR($C$118=0,B89=""),"",B89/$C$118)</f>
        <v/>
      </c>
    </row>
    <row r="90" customFormat="false" ht="15" hidden="false" customHeight="false" outlineLevel="0" collapsed="false">
      <c r="A90" s="41" t="str">
        <f aca="false">IF(November!A90="","",November!A90)</f>
        <v>Edzés, sport, bérlet</v>
      </c>
      <c r="B90" s="42"/>
      <c r="C90" s="25"/>
      <c r="D90" s="42"/>
      <c r="E90" s="25" t="str">
        <f aca="false">IF(D90=0,"",D90-B90)</f>
        <v/>
      </c>
      <c r="F90" s="30" t="str">
        <f aca="false">IF(OR($C$118=0,B90=""),"",B90/$C$118)</f>
        <v/>
      </c>
    </row>
    <row r="91" customFormat="false" ht="15" hidden="false" customHeight="false" outlineLevel="0" collapsed="false">
      <c r="A91" s="41" t="str">
        <f aca="false">IF(November!A91="","",November!A91)</f>
        <v>Gyógyszer, vitamin</v>
      </c>
      <c r="B91" s="42"/>
      <c r="C91" s="25"/>
      <c r="D91" s="42"/>
      <c r="E91" s="25" t="str">
        <f aca="false">IF(D91=0,"",D91-B91)</f>
        <v/>
      </c>
      <c r="F91" s="30" t="str">
        <f aca="false">IF(OR($C$118=0,B91=""),"",B91/$C$118)</f>
        <v/>
      </c>
    </row>
    <row r="92" customFormat="false" ht="15" hidden="false" customHeight="false" outlineLevel="0" collapsed="false">
      <c r="A92" s="41" t="str">
        <f aca="false">IF(November!A92="","",November!A92)</f>
        <v>Orvos, fogorvos, magánrendelés</v>
      </c>
      <c r="B92" s="42"/>
      <c r="C92" s="25"/>
      <c r="D92" s="42"/>
      <c r="E92" s="25" t="str">
        <f aca="false">IF(D92=0,"",D92-B92)</f>
        <v/>
      </c>
      <c r="F92" s="30" t="str">
        <f aca="false">IF(OR($C$118=0,B92=""),"",B92/$C$118)</f>
        <v/>
      </c>
    </row>
    <row r="93" customFormat="false" ht="15" hidden="false" customHeight="false" outlineLevel="0" collapsed="false">
      <c r="A93" s="41" t="str">
        <f aca="false">IF(November!A93="","",November!A93)</f>
        <v/>
      </c>
      <c r="B93" s="42"/>
      <c r="C93" s="25"/>
      <c r="D93" s="42"/>
      <c r="E93" s="25" t="str">
        <f aca="false">IF(D93=0,"",D93-B93)</f>
        <v/>
      </c>
      <c r="F93" s="30" t="str">
        <f aca="false">IF(OR($C$118=0,B93=""),"",B93/$C$118)</f>
        <v/>
      </c>
    </row>
    <row r="94" customFormat="false" ht="15" hidden="false" customHeight="false" outlineLevel="0" collapsed="false">
      <c r="A94" s="43" t="s">
        <v>130</v>
      </c>
      <c r="B94" s="35"/>
      <c r="C94" s="44" t="n">
        <f aca="false">SUM(B87:B93)</f>
        <v>0</v>
      </c>
      <c r="D94" s="44" t="n">
        <f aca="false">SUM(D87:D93)</f>
        <v>0</v>
      </c>
      <c r="E94" s="44" t="str">
        <f aca="false">IF(D94=0,"",D94-C94)</f>
        <v/>
      </c>
      <c r="F94" s="45" t="str">
        <f aca="false">IF(OR($C$118=0,C94=""),"",C94/$C$118)</f>
        <v/>
      </c>
    </row>
    <row r="95" customFormat="false" ht="15" hidden="false" customHeight="false" outlineLevel="0" collapsed="false">
      <c r="A95" s="39" t="s">
        <v>50</v>
      </c>
      <c r="B95" s="40"/>
      <c r="C95" s="40"/>
      <c r="D95" s="40"/>
      <c r="E95" s="40"/>
      <c r="F95" s="40"/>
    </row>
    <row r="96" customFormat="false" ht="15" hidden="false" customHeight="false" outlineLevel="0" collapsed="false">
      <c r="A96" s="41" t="str">
        <f aca="false">IF(November!A96="","",November!A96)</f>
        <v>Cigaretta, dohány</v>
      </c>
      <c r="B96" s="42"/>
      <c r="C96" s="25"/>
      <c r="D96" s="42"/>
      <c r="E96" s="25" t="str">
        <f aca="false">IF(D96=0,"",D96-B96)</f>
        <v/>
      </c>
      <c r="F96" s="30" t="str">
        <f aca="false">IF(OR($C$118=0,B96=""),"",B96/$C$118)</f>
        <v/>
      </c>
    </row>
    <row r="97" customFormat="false" ht="15" hidden="false" customHeight="false" outlineLevel="0" collapsed="false">
      <c r="A97" s="41" t="str">
        <f aca="false">IF(November!A97="","",November!A97)</f>
        <v>E-cigaretta, hevített dohánytermék</v>
      </c>
      <c r="B97" s="42"/>
      <c r="C97" s="25"/>
      <c r="D97" s="42"/>
      <c r="E97" s="25" t="str">
        <f aca="false">IF(D97=0,"",D97-B97)</f>
        <v/>
      </c>
      <c r="F97" s="30" t="str">
        <f aca="false">IF(OR($C$118=0,B97=""),"",B97/$C$118)</f>
        <v/>
      </c>
    </row>
    <row r="98" customFormat="false" ht="15" hidden="false" customHeight="false" outlineLevel="0" collapsed="false">
      <c r="A98" s="41" t="str">
        <f aca="false">IF(November!A98="","",November!A98)</f>
        <v/>
      </c>
      <c r="B98" s="42"/>
      <c r="C98" s="25"/>
      <c r="D98" s="42"/>
      <c r="E98" s="25" t="str">
        <f aca="false">IF(D98=0,"",D98-B98)</f>
        <v/>
      </c>
      <c r="F98" s="30" t="str">
        <f aca="false">IF(OR($C$118=0,B98=""),"",B98/$C$118)</f>
        <v/>
      </c>
    </row>
    <row r="99" customFormat="false" ht="15" hidden="false" customHeight="false" outlineLevel="0" collapsed="false">
      <c r="A99" s="43" t="s">
        <v>133</v>
      </c>
      <c r="B99" s="35"/>
      <c r="C99" s="44" t="n">
        <f aca="false">SUM(B96:B98)</f>
        <v>0</v>
      </c>
      <c r="D99" s="44" t="n">
        <f aca="false">SUM(D96:D98)</f>
        <v>0</v>
      </c>
      <c r="E99" s="44" t="str">
        <f aca="false">IF(D99=0,"",D99-C99)</f>
        <v/>
      </c>
      <c r="F99" s="45" t="str">
        <f aca="false">IF(OR($C$118=0,C99=""),"",C99/$C$118)</f>
        <v/>
      </c>
    </row>
    <row r="100" customFormat="false" ht="15" hidden="false" customHeight="false" outlineLevel="0" collapsed="false">
      <c r="A100" s="39" t="s">
        <v>51</v>
      </c>
      <c r="B100" s="40"/>
      <c r="C100" s="40"/>
      <c r="D100" s="40"/>
      <c r="E100" s="40"/>
      <c r="F100" s="40"/>
    </row>
    <row r="101" customFormat="false" ht="15" hidden="false" customHeight="false" outlineLevel="0" collapsed="false">
      <c r="A101" s="41" t="str">
        <f aca="false">IF(November!A101="","",November!A101)</f>
        <v>Állateledel, jutalomfalat</v>
      </c>
      <c r="B101" s="42"/>
      <c r="C101" s="25"/>
      <c r="D101" s="42"/>
      <c r="E101" s="25" t="str">
        <f aca="false">IF(D101=0,"",D101-B101)</f>
        <v/>
      </c>
      <c r="F101" s="30" t="str">
        <f aca="false">IF(OR($C$118=0,B101=""),"",B101/$C$118)</f>
        <v/>
      </c>
    </row>
    <row r="102" customFormat="false" ht="15" hidden="false" customHeight="false" outlineLevel="0" collapsed="false">
      <c r="A102" s="41" t="str">
        <f aca="false">IF(November!A102="","",November!A102)</f>
        <v>Állatorvos, oltások, gyógyszer</v>
      </c>
      <c r="B102" s="42"/>
      <c r="C102" s="25"/>
      <c r="D102" s="42"/>
      <c r="E102" s="25" t="str">
        <f aca="false">IF(D102=0,"",D102-B102)</f>
        <v/>
      </c>
      <c r="F102" s="30" t="str">
        <f aca="false">IF(OR($C$118=0,B102=""),"",B102/$C$118)</f>
        <v/>
      </c>
    </row>
    <row r="103" customFormat="false" ht="15" hidden="false" customHeight="false" outlineLevel="0" collapsed="false">
      <c r="A103" s="41" t="str">
        <f aca="false">IF(November!A103="","",November!A103)</f>
        <v>Felszerelés, alom, játékok</v>
      </c>
      <c r="B103" s="42"/>
      <c r="C103" s="25"/>
      <c r="D103" s="42"/>
      <c r="E103" s="25" t="str">
        <f aca="false">IF(D103=0,"",D103-B103)</f>
        <v/>
      </c>
      <c r="F103" s="30" t="str">
        <f aca="false">IF(OR($C$118=0,B103=""),"",B103/$C$118)</f>
        <v/>
      </c>
    </row>
    <row r="104" customFormat="false" ht="15" hidden="false" customHeight="false" outlineLevel="0" collapsed="false">
      <c r="A104" s="41" t="str">
        <f aca="false">IF(November!A104="","",November!A104)</f>
        <v>Kisállat-kozmetika, panzió, kutyaiskola</v>
      </c>
      <c r="B104" s="42"/>
      <c r="C104" s="25"/>
      <c r="D104" s="42"/>
      <c r="E104" s="25" t="str">
        <f aca="false">IF(D104=0,"",D104-B104)</f>
        <v/>
      </c>
      <c r="F104" s="30" t="str">
        <f aca="false">IF(OR($C$118=0,B104=""),"",B104/$C$118)</f>
        <v/>
      </c>
    </row>
    <row r="105" customFormat="false" ht="15" hidden="false" customHeight="false" outlineLevel="0" collapsed="false">
      <c r="A105" s="41" t="str">
        <f aca="false">IF(November!A105="","",November!A105)</f>
        <v/>
      </c>
      <c r="B105" s="42"/>
      <c r="C105" s="25"/>
      <c r="D105" s="42"/>
      <c r="E105" s="25" t="str">
        <f aca="false">IF(D105=0,"",D105-B105)</f>
        <v/>
      </c>
      <c r="F105" s="30" t="str">
        <f aca="false">IF(OR($C$118=0,B105=""),"",B105/$C$118)</f>
        <v/>
      </c>
    </row>
    <row r="106" customFormat="false" ht="15" hidden="false" customHeight="false" outlineLevel="0" collapsed="false">
      <c r="A106" s="43" t="s">
        <v>138</v>
      </c>
      <c r="B106" s="35"/>
      <c r="C106" s="44" t="n">
        <f aca="false">SUM(B101:B105)</f>
        <v>0</v>
      </c>
      <c r="D106" s="44" t="n">
        <f aca="false">SUM(D101:D105)</f>
        <v>0</v>
      </c>
      <c r="E106" s="44" t="str">
        <f aca="false">IF(D106=0,"",D106-C106)</f>
        <v/>
      </c>
      <c r="F106" s="45" t="str">
        <f aca="false">IF(OR($C$118=0,C106=""),"",C106/$C$118)</f>
        <v/>
      </c>
    </row>
    <row r="107" customFormat="false" ht="15" hidden="false" customHeight="false" outlineLevel="0" collapsed="false">
      <c r="A107" s="39" t="s">
        <v>52</v>
      </c>
      <c r="B107" s="40"/>
      <c r="C107" s="40"/>
      <c r="D107" s="40"/>
      <c r="E107" s="40"/>
      <c r="F107" s="40"/>
    </row>
    <row r="108" customFormat="false" ht="15" hidden="false" customHeight="false" outlineLevel="0" collapsed="false">
      <c r="A108" s="41" t="str">
        <f aca="false">IF(November!A108="","",November!A108)</f>
        <v>Hobbi</v>
      </c>
      <c r="B108" s="42"/>
      <c r="C108" s="25"/>
      <c r="D108" s="42"/>
      <c r="E108" s="25" t="str">
        <f aca="false">IF(D108=0,"",D108-B108)</f>
        <v/>
      </c>
      <c r="F108" s="30" t="str">
        <f aca="false">IF(OR($C$118=0,B108=""),"",B108/$C$118)</f>
        <v/>
      </c>
    </row>
    <row r="109" customFormat="false" ht="15" hidden="false" customHeight="false" outlineLevel="0" collapsed="false">
      <c r="A109" s="41" t="str">
        <f aca="false">IF(November!A109="","",November!A109)</f>
        <v>Szórakozás (mozi, színház, koncert, étterem)</v>
      </c>
      <c r="B109" s="42"/>
      <c r="C109" s="25"/>
      <c r="D109" s="42"/>
      <c r="E109" s="25" t="str">
        <f aca="false">IF(D109=0,"",D109-B109)</f>
        <v/>
      </c>
      <c r="F109" s="30" t="str">
        <f aca="false">IF(OR($C$118=0,B109=""),"",B109/$C$118)</f>
        <v/>
      </c>
    </row>
    <row r="110" customFormat="false" ht="15" hidden="false" customHeight="false" outlineLevel="0" collapsed="false">
      <c r="A110" s="41" t="str">
        <f aca="false">IF(November!A110="","",November!A110)</f>
        <v>Nyaralás, utazás</v>
      </c>
      <c r="B110" s="42"/>
      <c r="C110" s="25"/>
      <c r="D110" s="42"/>
      <c r="E110" s="25" t="str">
        <f aca="false">IF(D110=0,"",D110-B110)</f>
        <v/>
      </c>
      <c r="F110" s="30" t="str">
        <f aca="false">IF(OR($C$118=0,B110=""),"",B110/$C$118)</f>
        <v/>
      </c>
    </row>
    <row r="111" customFormat="false" ht="15" hidden="false" customHeight="false" outlineLevel="0" collapsed="false">
      <c r="A111" s="41" t="str">
        <f aca="false">IF(November!A111="","",November!A111)</f>
        <v/>
      </c>
      <c r="B111" s="42"/>
      <c r="C111" s="25"/>
      <c r="D111" s="42"/>
      <c r="E111" s="25" t="str">
        <f aca="false">IF(D111=0,"",D111-B111)</f>
        <v/>
      </c>
      <c r="F111" s="30" t="str">
        <f aca="false">IF(OR($C$118=0,B111=""),"",B111/$C$118)</f>
        <v/>
      </c>
    </row>
    <row r="112" customFormat="false" ht="15" hidden="false" customHeight="false" outlineLevel="0" collapsed="false">
      <c r="A112" s="43" t="s">
        <v>142</v>
      </c>
      <c r="B112" s="35"/>
      <c r="C112" s="44" t="n">
        <f aca="false">SUM(B108:B111)</f>
        <v>0</v>
      </c>
      <c r="D112" s="44" t="n">
        <f aca="false">SUM(D108:D111)</f>
        <v>0</v>
      </c>
      <c r="E112" s="44" t="str">
        <f aca="false">IF(D112=0,"",D112-C112)</f>
        <v/>
      </c>
      <c r="F112" s="45" t="str">
        <f aca="false">IF(OR($C$118=0,C112=""),"",C112/$C$118)</f>
        <v/>
      </c>
    </row>
    <row r="113" customFormat="false" ht="15" hidden="false" customHeight="false" outlineLevel="0" collapsed="false">
      <c r="A113" s="39" t="s">
        <v>53</v>
      </c>
      <c r="B113" s="40"/>
      <c r="C113" s="40"/>
      <c r="D113" s="40"/>
      <c r="E113" s="40"/>
      <c r="F113" s="40"/>
    </row>
    <row r="114" customFormat="false" ht="15" hidden="false" customHeight="false" outlineLevel="0" collapsed="false">
      <c r="A114" s="41" t="str">
        <f aca="false">IF(November!A114="","",November!A114)</f>
        <v>Ünnepek, ajándékok</v>
      </c>
      <c r="B114" s="42"/>
      <c r="C114" s="25"/>
      <c r="D114" s="42"/>
      <c r="E114" s="25" t="str">
        <f aca="false">IF(D114=0,"",D114-B114)</f>
        <v/>
      </c>
      <c r="F114" s="30" t="str">
        <f aca="false">IF(OR($C$118=0,B114=""),"",B114/$C$118)</f>
        <v/>
      </c>
    </row>
    <row r="115" customFormat="false" ht="15" hidden="false" customHeight="false" outlineLevel="0" collapsed="false">
      <c r="A115" s="41" t="str">
        <f aca="false">IF(November!A115="","",November!A115)</f>
        <v>Egyéb kiadás</v>
      </c>
      <c r="B115" s="42"/>
      <c r="C115" s="25"/>
      <c r="D115" s="42"/>
      <c r="E115" s="25" t="str">
        <f aca="false">IF(D115=0,"",D115-B115)</f>
        <v/>
      </c>
      <c r="F115" s="30" t="str">
        <f aca="false">IF(OR($C$118=0,B115=""),"",B115/$C$118)</f>
        <v/>
      </c>
    </row>
    <row r="116" customFormat="false" ht="15" hidden="false" customHeight="false" outlineLevel="0" collapsed="false">
      <c r="A116" s="41" t="str">
        <f aca="false">IF(November!A116="","",November!A116)</f>
        <v/>
      </c>
      <c r="B116" s="42"/>
      <c r="C116" s="25"/>
      <c r="D116" s="42"/>
      <c r="E116" s="25" t="str">
        <f aca="false">IF(D116=0,"",D116-B116)</f>
        <v/>
      </c>
      <c r="F116" s="30" t="str">
        <f aca="false">IF(OR($C$118=0,B116=""),"",B116/$C$118)</f>
        <v/>
      </c>
    </row>
    <row r="117" customFormat="false" ht="15" hidden="false" customHeight="false" outlineLevel="0" collapsed="false">
      <c r="A117" s="43" t="s">
        <v>145</v>
      </c>
      <c r="B117" s="35"/>
      <c r="C117" s="44" t="n">
        <f aca="false">SUM(B114:B116)</f>
        <v>0</v>
      </c>
      <c r="D117" s="44" t="n">
        <f aca="false">SUM(D114:D116)</f>
        <v>0</v>
      </c>
      <c r="E117" s="44" t="str">
        <f aca="false">IF(D117=0,"",D117-C117)</f>
        <v/>
      </c>
      <c r="F117" s="45" t="str">
        <f aca="false">IF(OR($C$118=0,C117=""),"",C117/$C$118)</f>
        <v/>
      </c>
    </row>
    <row r="118" customFormat="false" ht="15" hidden="false" customHeight="false" outlineLevel="0" collapsed="false">
      <c r="A118" s="33" t="s">
        <v>146</v>
      </c>
      <c r="B118" s="33"/>
      <c r="C118" s="50" t="n">
        <f aca="false">C35+C42+C52+C66+C79+C85+C94+C99+C106+C112+C117</f>
        <v>0</v>
      </c>
      <c r="D118" s="50" t="n">
        <f aca="false">D35+D42+D52+D66+D79+D85+D94+D99+D106+D112+D117</f>
        <v>0</v>
      </c>
      <c r="E118" s="50" t="str">
        <f aca="false">IF(D118=0,"",D118-C118)</f>
        <v/>
      </c>
      <c r="F118" s="51" t="str">
        <f aca="false">IF($C$16=0,"",C118/$C$16)</f>
        <v/>
      </c>
    </row>
    <row r="119" customFormat="false" ht="15" hidden="false" customHeight="false" outlineLevel="0" collapsed="false">
      <c r="A119" s="8" t="s">
        <v>147</v>
      </c>
      <c r="B119" s="8"/>
      <c r="C119" s="8" t="s">
        <v>148</v>
      </c>
      <c r="D119" s="8" t="s">
        <v>149</v>
      </c>
      <c r="E119" s="8"/>
      <c r="F119" s="8" t="s">
        <v>150</v>
      </c>
    </row>
    <row r="120" customFormat="false" ht="15" hidden="false" customHeight="false" outlineLevel="0" collapsed="false">
      <c r="A120" s="13" t="s">
        <v>151</v>
      </c>
      <c r="B120" s="52"/>
      <c r="C120" s="53" t="n">
        <f aca="false">C16</f>
        <v>0</v>
      </c>
      <c r="D120" s="53" t="n">
        <f aca="false">D16</f>
        <v>0</v>
      </c>
      <c r="E120" s="52"/>
      <c r="F120" s="54" t="str">
        <f aca="false">IF($C$120=0,"",C120/$C$120)</f>
        <v/>
      </c>
    </row>
    <row r="121" customFormat="false" ht="15" hidden="false" customHeight="false" outlineLevel="0" collapsed="false">
      <c r="A121" s="17" t="s">
        <v>152</v>
      </c>
      <c r="B121" s="52"/>
      <c r="C121" s="53" t="n">
        <f aca="false">C28</f>
        <v>0</v>
      </c>
      <c r="D121" s="53" t="n">
        <f aca="false">D28</f>
        <v>0</v>
      </c>
      <c r="E121" s="52"/>
      <c r="F121" s="54" t="str">
        <f aca="false">IF($C$120=0,"",C121/$C$120)</f>
        <v/>
      </c>
    </row>
    <row r="122" customFormat="false" ht="15" hidden="false" customHeight="false" outlineLevel="0" collapsed="false">
      <c r="A122" s="18" t="s">
        <v>153</v>
      </c>
      <c r="B122" s="52"/>
      <c r="C122" s="53" t="n">
        <f aca="false">C118</f>
        <v>0</v>
      </c>
      <c r="D122" s="53" t="n">
        <f aca="false">D118</f>
        <v>0</v>
      </c>
      <c r="E122" s="52"/>
      <c r="F122" s="54" t="str">
        <f aca="false">IF($C$120=0,"",C122/$C$120)</f>
        <v/>
      </c>
    </row>
    <row r="123" customFormat="false" ht="15" hidden="false" customHeight="false" outlineLevel="0" collapsed="false">
      <c r="A123" s="33" t="s">
        <v>154</v>
      </c>
      <c r="B123" s="33"/>
      <c r="C123" s="50" t="n">
        <f aca="false">C121+C122</f>
        <v>0</v>
      </c>
      <c r="D123" s="50" t="n">
        <f aca="false">D121+D122</f>
        <v>0</v>
      </c>
      <c r="E123" s="33"/>
      <c r="F123" s="51" t="str">
        <f aca="false">IF($C$120=0,"",C123/$C$120)</f>
        <v/>
      </c>
    </row>
    <row r="124" customFormat="false" ht="15" hidden="false" customHeight="false" outlineLevel="0" collapsed="false">
      <c r="A124" s="19" t="s">
        <v>155</v>
      </c>
      <c r="B124" s="19"/>
      <c r="C124" s="20" t="n">
        <f aca="false">C120-C123</f>
        <v>0</v>
      </c>
      <c r="D124" s="20" t="n">
        <f aca="false">D120-D123</f>
        <v>0</v>
      </c>
      <c r="E124" s="19"/>
      <c r="F124" s="55" t="str">
        <f aca="false">IF($C$120=0,"",C124/$C$120)</f>
        <v/>
      </c>
    </row>
    <row r="125" customFormat="false" ht="15" hidden="false" customHeight="false" outlineLevel="0" collapsed="false">
      <c r="A125" s="24" t="s">
        <v>156</v>
      </c>
      <c r="B125" s="24"/>
      <c r="C125" s="23" t="str">
        <f aca="false">IF(C120=0,"–",C121/C120)</f>
        <v>–</v>
      </c>
      <c r="D125" s="23" t="str">
        <f aca="false">IF(D120=0,"–",D121/D120)</f>
        <v>–</v>
      </c>
      <c r="E125" s="24"/>
      <c r="F125" s="24"/>
    </row>
    <row r="126" customFormat="false" ht="15" hidden="false" customHeight="false" outlineLevel="0" collapsed="false">
      <c r="A126" s="36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158</v>
      </c>
      <c r="B1" s="0" t="n">
        <v>0</v>
      </c>
      <c r="D1" s="0" t="s">
        <v>159</v>
      </c>
      <c r="E1" s="0" t="n">
        <v>0</v>
      </c>
      <c r="G1" s="0" t="s">
        <v>160</v>
      </c>
      <c r="H1" s="0" t="n">
        <v>0</v>
      </c>
    </row>
    <row r="2" customFormat="false" ht="15" hidden="false" customHeight="false" outlineLevel="0" collapsed="false">
      <c r="A2" s="0" t="str">
        <f aca="false">TRIM(Január!A5)</f>
        <v>Munkabér 1 (pl. saját)</v>
      </c>
      <c r="B2" s="0" t="n">
        <f aca="false">IF(A2="","",IF(COUNTIF(A$2:A2,A2)=1,MAX(B$1:B1)+1,""))</f>
        <v>1</v>
      </c>
      <c r="D2" s="0" t="str">
        <f aca="false">TRIM(Január!A18)</f>
        <v>Vésztartalék</v>
      </c>
      <c r="E2" s="0" t="n">
        <f aca="false">IF(D2="","",IF(COUNTIF(D$2:D2,D2)=1,MAX(E$1:E1)+1,""))</f>
        <v>1</v>
      </c>
      <c r="G2" s="0" t="str">
        <f aca="false">TRIM(Január!A31)</f>
        <v>Albérleti díj / lakáshitel</v>
      </c>
      <c r="H2" s="0" t="n">
        <f aca="false">IF(G2="","",IF(COUNTIF(G$2:G2,G2)=1,MAX(H$1:H1)+1,""))</f>
        <v>1</v>
      </c>
    </row>
    <row r="3" customFormat="false" ht="15" hidden="false" customHeight="false" outlineLevel="0" collapsed="false">
      <c r="A3" s="0" t="str">
        <f aca="false">TRIM(Január!A6)</f>
        <v>Munkabér 2 (pl. partner)</v>
      </c>
      <c r="B3" s="0" t="n">
        <f aca="false">IF(A3="","",IF(COUNTIF(A$2:A3,A3)=1,MAX(B$1:B2)+1,""))</f>
        <v>2</v>
      </c>
      <c r="D3" s="0" t="str">
        <f aca="false">TRIM(Január!A19)</f>
        <v>Lakástakarékpénztár</v>
      </c>
      <c r="E3" s="0" t="n">
        <f aca="false">IF(D3="","",IF(COUNTIF(D$2:D3,D3)=1,MAX(E$1:E2)+1,""))</f>
        <v>2</v>
      </c>
      <c r="G3" s="0" t="str">
        <f aca="false">TRIM(Január!A32)</f>
        <v>Rezsi (közművek, közös költség)</v>
      </c>
      <c r="H3" s="0" t="n">
        <f aca="false">IF(G3="","",IF(COUNTIF(G$2:G3,G3)=1,MAX(H$1:H2)+1,""))</f>
        <v>2</v>
      </c>
    </row>
    <row r="4" customFormat="false" ht="15" hidden="false" customHeight="false" outlineLevel="0" collapsed="false">
      <c r="A4" s="0" t="str">
        <f aca="false">TRIM(Január!A7)</f>
        <v>Vállalkozói bevétel</v>
      </c>
      <c r="B4" s="0" t="n">
        <f aca="false">IF(A4="","",IF(COUNTIF(A$2:A4,A4)=1,MAX(B$1:B3)+1,""))</f>
        <v>3</v>
      </c>
      <c r="D4" s="0" t="str">
        <f aca="false">TRIM(Január!A20)</f>
        <v>Általános cél</v>
      </c>
      <c r="E4" s="0" t="n">
        <f aca="false">IF(D4="","",IF(COUNTIF(D$2:D4,D4)=1,MAX(E$1:E3)+1,""))</f>
        <v>3</v>
      </c>
      <c r="G4" s="0" t="str">
        <f aca="false">TRIM(Január!A33)</f>
        <v>Telefon, internet, digitális előfizetések</v>
      </c>
      <c r="H4" s="0" t="n">
        <f aca="false">IF(G4="","",IF(COUNTIF(G$2:G4,G4)=1,MAX(H$1:H3)+1,""))</f>
        <v>3</v>
      </c>
    </row>
    <row r="5" customFormat="false" ht="15" hidden="false" customHeight="false" outlineLevel="0" collapsed="false">
      <c r="A5" s="0" t="str">
        <f aca="false">TRIM(Január!A8)</f>
        <v/>
      </c>
      <c r="B5" s="0" t="str">
        <f aca="false">IF(A5="","",IF(COUNTIF(A$2:A5,A5)=1,MAX(B$1:B4)+1,""))</f>
        <v/>
      </c>
      <c r="D5" s="0" t="str">
        <f aca="false">TRIM(Január!A21)</f>
        <v>Hosszú távú (min. 10 éves, általános célú)</v>
      </c>
      <c r="E5" s="0" t="n">
        <f aca="false">IF(D5="","",IF(COUNTIF(D$2:D5,D5)=1,MAX(E$1:E4)+1,""))</f>
        <v>4</v>
      </c>
      <c r="G5" s="0" t="str">
        <f aca="false">TRIM(Január!A34)</f>
        <v/>
      </c>
      <c r="H5" s="0" t="str">
        <f aca="false">IF(G5="","",IF(COUNTIF(G$2:G5,G5)=1,MAX(H$1:H4)+1,""))</f>
        <v/>
      </c>
    </row>
    <row r="6" customFormat="false" ht="15" hidden="false" customHeight="false" outlineLevel="0" collapsed="false">
      <c r="A6" s="0" t="str">
        <f aca="false">TRIM(Január!A11)</f>
        <v>CSED / GYED / GYES</v>
      </c>
      <c r="B6" s="0" t="n">
        <f aca="false">IF(A6="","",IF(COUNTIF(A$2:A6,A6)=1,MAX(B$1:B5)+1,""))</f>
        <v>4</v>
      </c>
      <c r="D6" s="0" t="str">
        <f aca="false">TRIM(Január!A22)</f>
        <v>Hosszú távú (min. 10 éves, lakás célú)</v>
      </c>
      <c r="E6" s="0" t="n">
        <f aca="false">IF(D6="","",IF(COUNTIF(D$2:D6,D6)=1,MAX(E$1:E5)+1,""))</f>
        <v>5</v>
      </c>
      <c r="G6" s="0" t="str">
        <f aca="false">TRIM(Január!A37)</f>
        <v>Nagybevásárlások</v>
      </c>
      <c r="H6" s="0" t="n">
        <f aca="false">IF(G6="","",IF(COUNTIF(G$2:G6,G6)=1,MAX(H$1:H5)+1,""))</f>
        <v>4</v>
      </c>
    </row>
    <row r="7" customFormat="false" ht="15" hidden="false" customHeight="false" outlineLevel="0" collapsed="false">
      <c r="A7" s="0" t="str">
        <f aca="false">TRIM(Január!A12)</f>
        <v>Családi pótlék</v>
      </c>
      <c r="B7" s="0" t="n">
        <f aca="false">IF(A7="","",IF(COUNTIF(A$2:A7,A7)=1,MAX(B$1:B6)+1,""))</f>
        <v>5</v>
      </c>
      <c r="D7" s="0" t="str">
        <f aca="false">TRIM(Január!A23)</f>
        <v>Hosszú távú (min. 10 éves, gyermek jövője célú)</v>
      </c>
      <c r="E7" s="0" t="n">
        <f aca="false">IF(D7="","",IF(COUNTIF(D$2:D7,D7)=1,MAX(E$1:E6)+1,""))</f>
        <v>6</v>
      </c>
      <c r="G7" s="0" t="str">
        <f aca="false">TRIM(Január!A38)</f>
        <v>Drogéria</v>
      </c>
      <c r="H7" s="0" t="n">
        <f aca="false">IF(G7="","",IF(COUNTIF(G$2:G7,G7)=1,MAX(H$1:H6)+1,""))</f>
        <v>5</v>
      </c>
    </row>
    <row r="8" customFormat="false" ht="15" hidden="false" customHeight="false" outlineLevel="0" collapsed="false">
      <c r="A8" s="0" t="str">
        <f aca="false">TRIM(Január!A13)</f>
        <v>Egyéb (lakáskiadás, bónusz stb.)</v>
      </c>
      <c r="B8" s="0" t="n">
        <f aca="false">IF(A8="","",IF(COUNTIF(A$2:A8,A8)=1,MAX(B$1:B7)+1,""))</f>
        <v>6</v>
      </c>
      <c r="D8" s="0" t="str">
        <f aca="false">TRIM(Január!A24)</f>
        <v>Hosszú távú (min. 15 éves, nyugdíj célú)</v>
      </c>
      <c r="E8" s="0" t="n">
        <f aca="false">IF(D8="","",IF(COUNTIF(D$2:D8,D8)=1,MAX(E$1:E7)+1,""))</f>
        <v>7</v>
      </c>
      <c r="G8" s="0" t="str">
        <f aca="false">TRIM(Január!A39)</f>
        <v>Ételrendelés</v>
      </c>
      <c r="H8" s="0" t="n">
        <f aca="false">IF(G8="","",IF(COUNTIF(G$2:G8,G8)=1,MAX(H$1:H7)+1,""))</f>
        <v>6</v>
      </c>
    </row>
    <row r="9" customFormat="false" ht="15" hidden="false" customHeight="false" outlineLevel="0" collapsed="false">
      <c r="A9" s="0" t="str">
        <f aca="false">TRIM(Január!A14)</f>
        <v/>
      </c>
      <c r="B9" s="0" t="str">
        <f aca="false">IF(A9="","",IF(COUNTIF(A$2:A9,A9)=1,MAX(B$1:B8)+1,""))</f>
        <v/>
      </c>
      <c r="D9" s="0" t="str">
        <f aca="false">TRIM(Január!A25)</f>
        <v>Nyugdíjbiztosítás</v>
      </c>
      <c r="E9" s="0" t="n">
        <f aca="false">IF(D9="","",IF(COUNTIF(D$2:D9,D9)=1,MAX(E$1:E8)+1,""))</f>
        <v>8</v>
      </c>
      <c r="G9" s="0" t="str">
        <f aca="false">TRIM(Január!A40)</f>
        <v>Egyéb élelmiszer, bevásárlás</v>
      </c>
      <c r="H9" s="0" t="n">
        <f aca="false">IF(G9="","",IF(COUNTIF(G$2:G9,G9)=1,MAX(H$1:H8)+1,""))</f>
        <v>7</v>
      </c>
    </row>
    <row r="10" customFormat="false" ht="15" hidden="false" customHeight="false" outlineLevel="0" collapsed="false">
      <c r="A10" s="0" t="str">
        <f aca="false">TRIM(Február!A5)</f>
        <v>Munkabér 1 (pl. saját)</v>
      </c>
      <c r="B10" s="0" t="str">
        <f aca="false">IF(A10="","",IF(COUNTIF(A$2:A10,A10)=1,MAX(B$1:B9)+1,""))</f>
        <v/>
      </c>
      <c r="D10" s="0" t="str">
        <f aca="false">TRIM(Január!A26)</f>
        <v/>
      </c>
      <c r="E10" s="0" t="str">
        <f aca="false">IF(D10="","",IF(COUNTIF(D$2:D10,D10)=1,MAX(E$1:E9)+1,""))</f>
        <v/>
      </c>
      <c r="G10" s="0" t="str">
        <f aca="false">TRIM(Január!A41)</f>
        <v/>
      </c>
      <c r="H10" s="0" t="str">
        <f aca="false">IF(G10="","",IF(COUNTIF(G$2:G10,G10)=1,MAX(H$1:H9)+1,""))</f>
        <v/>
      </c>
    </row>
    <row r="11" customFormat="false" ht="15" hidden="false" customHeight="false" outlineLevel="0" collapsed="false">
      <c r="A11" s="0" t="str">
        <f aca="false">TRIM(Február!A6)</f>
        <v>Munkabér 2 (pl. partner)</v>
      </c>
      <c r="B11" s="0" t="str">
        <f aca="false">IF(A11="","",IF(COUNTIF(A$2:A11,A11)=1,MAX(B$1:B10)+1,""))</f>
        <v/>
      </c>
      <c r="D11" s="0" t="str">
        <f aca="false">TRIM(Január!A27)</f>
        <v/>
      </c>
      <c r="E11" s="0" t="str">
        <f aca="false">IF(D11="","",IF(COUNTIF(D$2:D11,D11)=1,MAX(E$1:E10)+1,""))</f>
        <v/>
      </c>
      <c r="G11" s="0" t="str">
        <f aca="false">TRIM(Január!A44)</f>
        <v>Lakásbiztosítás</v>
      </c>
      <c r="H11" s="0" t="n">
        <f aca="false">IF(G11="","",IF(COUNTIF(G$2:G11,G11)=1,MAX(H$1:H10)+1,""))</f>
        <v>8</v>
      </c>
    </row>
    <row r="12" customFormat="false" ht="15" hidden="false" customHeight="false" outlineLevel="0" collapsed="false">
      <c r="A12" s="0" t="str">
        <f aca="false">TRIM(Február!A7)</f>
        <v>Vállalkozói bevétel</v>
      </c>
      <c r="B12" s="0" t="str">
        <f aca="false">IF(A12="","",IF(COUNTIF(A$2:A12,A12)=1,MAX(B$1:B11)+1,""))</f>
        <v/>
      </c>
      <c r="D12" s="0" t="str">
        <f aca="false">TRIM(Február!A18)</f>
        <v>Vésztartalék</v>
      </c>
      <c r="E12" s="0" t="str">
        <f aca="false">IF(D12="","",IF(COUNTIF(D$2:D12,D12)=1,MAX(E$1:E11)+1,""))</f>
        <v/>
      </c>
      <c r="G12" s="0" t="str">
        <f aca="false">TRIM(Január!A45)</f>
        <v>Életbiztosítás</v>
      </c>
      <c r="H12" s="0" t="n">
        <f aca="false">IF(G12="","",IF(COUNTIF(G$2:G12,G12)=1,MAX(H$1:H11)+1,""))</f>
        <v>9</v>
      </c>
    </row>
    <row r="13" customFormat="false" ht="15" hidden="false" customHeight="false" outlineLevel="0" collapsed="false">
      <c r="A13" s="0" t="str">
        <f aca="false">TRIM(Február!A8)</f>
        <v/>
      </c>
      <c r="B13" s="0" t="str">
        <f aca="false">IF(A13="","",IF(COUNTIF(A$2:A13,A13)=1,MAX(B$1:B12)+1,""))</f>
        <v/>
      </c>
      <c r="D13" s="0" t="str">
        <f aca="false">TRIM(Február!A19)</f>
        <v>Lakástakarékpénztár</v>
      </c>
      <c r="E13" s="0" t="str">
        <f aca="false">IF(D13="","",IF(COUNTIF(D$2:D13,D13)=1,MAX(E$1:E12)+1,""))</f>
        <v/>
      </c>
      <c r="G13" s="0" t="str">
        <f aca="false">TRIM(Január!A46)</f>
        <v>Baleset- és betegségbiztosítás</v>
      </c>
      <c r="H13" s="0" t="n">
        <f aca="false">IF(G13="","",IF(COUNTIF(G$2:G13,G13)=1,MAX(H$1:H12)+1,""))</f>
        <v>10</v>
      </c>
    </row>
    <row r="14" customFormat="false" ht="15" hidden="false" customHeight="false" outlineLevel="0" collapsed="false">
      <c r="A14" s="0" t="str">
        <f aca="false">TRIM(Február!A11)</f>
        <v>CSED / GYED / GYES</v>
      </c>
      <c r="B14" s="0" t="str">
        <f aca="false">IF(A14="","",IF(COUNTIF(A$2:A14,A14)=1,MAX(B$1:B13)+1,""))</f>
        <v/>
      </c>
      <c r="D14" s="0" t="str">
        <f aca="false">TRIM(Február!A20)</f>
        <v>Általános cél</v>
      </c>
      <c r="E14" s="0" t="str">
        <f aca="false">IF(D14="","",IF(COUNTIF(D$2:D14,D14)=1,MAX(E$1:E13)+1,""))</f>
        <v/>
      </c>
      <c r="G14" s="0" t="str">
        <f aca="false">TRIM(Január!A47)</f>
        <v>Egészségbiztosítás</v>
      </c>
      <c r="H14" s="0" t="n">
        <f aca="false">IF(G14="","",IF(COUNTIF(G$2:G14,G14)=1,MAX(H$1:H13)+1,""))</f>
        <v>11</v>
      </c>
    </row>
    <row r="15" customFormat="false" ht="15" hidden="false" customHeight="false" outlineLevel="0" collapsed="false">
      <c r="A15" s="0" t="str">
        <f aca="false">TRIM(Február!A12)</f>
        <v>Családi pótlék</v>
      </c>
      <c r="B15" s="0" t="str">
        <f aca="false">IF(A15="","",IF(COUNTIF(A$2:A15,A15)=1,MAX(B$1:B14)+1,""))</f>
        <v/>
      </c>
      <c r="D15" s="0" t="str">
        <f aca="false">TRIM(Február!A21)</f>
        <v>Hosszú távú (min. 10 éves, általános célú)</v>
      </c>
      <c r="E15" s="0" t="str">
        <f aca="false">IF(D15="","",IF(COUNTIF(D$2:D15,D15)=1,MAX(E$1:E14)+1,""))</f>
        <v/>
      </c>
      <c r="G15" s="0" t="str">
        <f aca="false">TRIM(Január!A48)</f>
        <v>Hiteltörlesztés</v>
      </c>
      <c r="H15" s="0" t="n">
        <f aca="false">IF(G15="","",IF(COUNTIF(G$2:G15,G15)=1,MAX(H$1:H14)+1,""))</f>
        <v>12</v>
      </c>
    </row>
    <row r="16" customFormat="false" ht="15" hidden="false" customHeight="false" outlineLevel="0" collapsed="false">
      <c r="A16" s="0" t="str">
        <f aca="false">TRIM(Február!A13)</f>
        <v>Egyéb (lakáskiadás, bónusz stb.)</v>
      </c>
      <c r="B16" s="0" t="str">
        <f aca="false">IF(A16="","",IF(COUNTIF(A$2:A16,A16)=1,MAX(B$1:B15)+1,""))</f>
        <v/>
      </c>
      <c r="D16" s="0" t="str">
        <f aca="false">TRIM(Február!A22)</f>
        <v>Hosszú távú (min. 10 éves, lakás célú)</v>
      </c>
      <c r="E16" s="0" t="str">
        <f aca="false">IF(D16="","",IF(COUNTIF(D$2:D16,D16)=1,MAX(E$1:E15)+1,""))</f>
        <v/>
      </c>
      <c r="G16" s="0" t="str">
        <f aca="false">TRIM(Január!A49)</f>
        <v>Egyéb szerződés</v>
      </c>
      <c r="H16" s="0" t="n">
        <f aca="false">IF(G16="","",IF(COUNTIF(G$2:G16,G16)=1,MAX(H$1:H15)+1,""))</f>
        <v>13</v>
      </c>
    </row>
    <row r="17" customFormat="false" ht="15" hidden="false" customHeight="false" outlineLevel="0" collapsed="false">
      <c r="A17" s="0" t="str">
        <f aca="false">TRIM(Február!A14)</f>
        <v/>
      </c>
      <c r="B17" s="0" t="str">
        <f aca="false">IF(A17="","",IF(COUNTIF(A$2:A17,A17)=1,MAX(B$1:B16)+1,""))</f>
        <v/>
      </c>
      <c r="D17" s="0" t="str">
        <f aca="false">TRIM(Február!A23)</f>
        <v>Hosszú távú (min. 10 éves, gyermek jövője célú)</v>
      </c>
      <c r="E17" s="0" t="str">
        <f aca="false">IF(D17="","",IF(COUNTIF(D$2:D17,D17)=1,MAX(E$1:E16)+1,""))</f>
        <v/>
      </c>
      <c r="G17" s="0" t="str">
        <f aca="false">TRIM(Január!A50)</f>
        <v/>
      </c>
      <c r="H17" s="0" t="str">
        <f aca="false">IF(G17="","",IF(COUNTIF(G$2:G17,G17)=1,MAX(H$1:H16)+1,""))</f>
        <v/>
      </c>
    </row>
    <row r="18" customFormat="false" ht="15" hidden="false" customHeight="false" outlineLevel="0" collapsed="false">
      <c r="A18" s="0" t="str">
        <f aca="false">TRIM(Március!A5)</f>
        <v>Munkabér 1 (pl. saját)</v>
      </c>
      <c r="B18" s="0" t="str">
        <f aca="false">IF(A18="","",IF(COUNTIF(A$2:A18,A18)=1,MAX(B$1:B17)+1,""))</f>
        <v/>
      </c>
      <c r="D18" s="0" t="str">
        <f aca="false">TRIM(Február!A24)</f>
        <v>Hosszú távú (min. 15 éves, nyugdíj célú)</v>
      </c>
      <c r="E18" s="0" t="str">
        <f aca="false">IF(D18="","",IF(COUNTIF(D$2:D18,D18)=1,MAX(E$1:E17)+1,""))</f>
        <v/>
      </c>
      <c r="G18" s="0" t="str">
        <f aca="false">TRIM(Január!A51)</f>
        <v/>
      </c>
      <c r="H18" s="0" t="str">
        <f aca="false">IF(G18="","",IF(COUNTIF(G$2:G18,G18)=1,MAX(H$1:H17)+1,""))</f>
        <v/>
      </c>
    </row>
    <row r="19" customFormat="false" ht="15" hidden="false" customHeight="false" outlineLevel="0" collapsed="false">
      <c r="A19" s="0" t="str">
        <f aca="false">TRIM(Március!A6)</f>
        <v>Munkabér 2 (pl. partner)</v>
      </c>
      <c r="B19" s="0" t="str">
        <f aca="false">IF(A19="","",IF(COUNTIF(A$2:A19,A19)=1,MAX(B$1:B18)+1,""))</f>
        <v/>
      </c>
      <c r="D19" s="0" t="str">
        <f aca="false">TRIM(Február!A25)</f>
        <v>Nyugdíjbiztosítás</v>
      </c>
      <c r="E19" s="0" t="str">
        <f aca="false">IF(D19="","",IF(COUNTIF(D$2:D19,D19)=1,MAX(E$1:E18)+1,""))</f>
        <v/>
      </c>
      <c r="G19" s="0" t="str">
        <f aca="false">TRIM(Január!A54)</f>
        <v>Üzemanyag, elektromos töltés</v>
      </c>
      <c r="H19" s="0" t="n">
        <f aca="false">IF(G19="","",IF(COUNTIF(G$2:G19,G19)=1,MAX(H$1:H18)+1,""))</f>
        <v>14</v>
      </c>
    </row>
    <row r="20" customFormat="false" ht="15" hidden="false" customHeight="false" outlineLevel="0" collapsed="false">
      <c r="A20" s="0" t="str">
        <f aca="false">TRIM(Március!A7)</f>
        <v>Vállalkozói bevétel</v>
      </c>
      <c r="B20" s="0" t="str">
        <f aca="false">IF(A20="","",IF(COUNTIF(A$2:A20,A20)=1,MAX(B$1:B19)+1,""))</f>
        <v/>
      </c>
      <c r="D20" s="0" t="str">
        <f aca="false">TRIM(Február!A26)</f>
        <v/>
      </c>
      <c r="E20" s="0" t="str">
        <f aca="false">IF(D20="","",IF(COUNTIF(D$2:D20,D20)=1,MAX(E$1:E19)+1,""))</f>
        <v/>
      </c>
      <c r="G20" s="0" t="str">
        <f aca="false">TRIM(Január!A55)</f>
        <v>Parkolás, útdíj, autópálya-matrica</v>
      </c>
      <c r="H20" s="0" t="n">
        <f aca="false">IF(G20="","",IF(COUNTIF(G$2:G20,G20)=1,MAX(H$1:H19)+1,""))</f>
        <v>15</v>
      </c>
    </row>
    <row r="21" customFormat="false" ht="15" hidden="false" customHeight="false" outlineLevel="0" collapsed="false">
      <c r="A21" s="0" t="str">
        <f aca="false">TRIM(Március!A8)</f>
        <v/>
      </c>
      <c r="B21" s="0" t="str">
        <f aca="false">IF(A21="","",IF(COUNTIF(A$2:A21,A21)=1,MAX(B$1:B20)+1,""))</f>
        <v/>
      </c>
      <c r="D21" s="0" t="str">
        <f aca="false">TRIM(Február!A27)</f>
        <v/>
      </c>
      <c r="E21" s="0" t="str">
        <f aca="false">IF(D21="","",IF(COUNTIF(D$2:D21,D21)=1,MAX(E$1:E20)+1,""))</f>
        <v/>
      </c>
      <c r="G21" s="0" t="str">
        <f aca="false">TRIM(Január!A56)</f>
        <v>Szerviz, karbantartás, gumicsere</v>
      </c>
      <c r="H21" s="0" t="n">
        <f aca="false">IF(G21="","",IF(COUNTIF(G$2:G21,G21)=1,MAX(H$1:H20)+1,""))</f>
        <v>16</v>
      </c>
    </row>
    <row r="22" customFormat="false" ht="15" hidden="false" customHeight="false" outlineLevel="0" collapsed="false">
      <c r="A22" s="0" t="str">
        <f aca="false">TRIM(Március!A11)</f>
        <v>CSED / GYED / GYES</v>
      </c>
      <c r="B22" s="0" t="str">
        <f aca="false">IF(A22="","",IF(COUNTIF(A$2:A22,A22)=1,MAX(B$1:B21)+1,""))</f>
        <v/>
      </c>
      <c r="D22" s="0" t="str">
        <f aca="false">TRIM(Március!A18)</f>
        <v>Vésztartalék</v>
      </c>
      <c r="E22" s="0" t="str">
        <f aca="false">IF(D22="","",IF(COUNTIF(D$2:D22,D22)=1,MAX(E$1:E21)+1,""))</f>
        <v/>
      </c>
      <c r="G22" s="0" t="str">
        <f aca="false">TRIM(Január!A57)</f>
        <v>KGFB (kötelező biztosítás)</v>
      </c>
      <c r="H22" s="0" t="n">
        <f aca="false">IF(G22="","",IF(COUNTIF(G$2:G22,G22)=1,MAX(H$1:H21)+1,""))</f>
        <v>17</v>
      </c>
    </row>
    <row r="23" customFormat="false" ht="15" hidden="false" customHeight="false" outlineLevel="0" collapsed="false">
      <c r="A23" s="0" t="str">
        <f aca="false">TRIM(Március!A12)</f>
        <v>Családi pótlék</v>
      </c>
      <c r="B23" s="0" t="str">
        <f aca="false">IF(A23="","",IF(COUNTIF(A$2:A23,A23)=1,MAX(B$1:B22)+1,""))</f>
        <v/>
      </c>
      <c r="D23" s="0" t="str">
        <f aca="false">TRIM(Március!A19)</f>
        <v>Lakástakarékpénztár</v>
      </c>
      <c r="E23" s="0" t="str">
        <f aca="false">IF(D23="","",IF(COUNTIF(D$2:D23,D23)=1,MAX(E$1:E22)+1,""))</f>
        <v/>
      </c>
      <c r="G23" s="0" t="str">
        <f aca="false">TRIM(Január!A58)</f>
        <v>CASCO</v>
      </c>
      <c r="H23" s="0" t="n">
        <f aca="false">IF(G23="","",IF(COUNTIF(G$2:G23,G23)=1,MAX(H$1:H22)+1,""))</f>
        <v>18</v>
      </c>
    </row>
    <row r="24" customFormat="false" ht="15" hidden="false" customHeight="false" outlineLevel="0" collapsed="false">
      <c r="A24" s="0" t="str">
        <f aca="false">TRIM(Március!A13)</f>
        <v>Egyéb (lakáskiadás, bónusz stb.)</v>
      </c>
      <c r="B24" s="0" t="str">
        <f aca="false">IF(A24="","",IF(COUNTIF(A$2:A24,A24)=1,MAX(B$1:B23)+1,""))</f>
        <v/>
      </c>
      <c r="D24" s="0" t="str">
        <f aca="false">TRIM(Március!A20)</f>
        <v>Általános cél</v>
      </c>
      <c r="E24" s="0" t="str">
        <f aca="false">IF(D24="","",IF(COUNTIF(D$2:D24,D24)=1,MAX(E$1:E23)+1,""))</f>
        <v/>
      </c>
      <c r="G24" s="0" t="str">
        <f aca="false">TRIM(Január!A59)</f>
        <v>Gépjárműadó</v>
      </c>
      <c r="H24" s="0" t="n">
        <f aca="false">IF(G24="","",IF(COUNTIF(G$2:G24,G24)=1,MAX(H$1:H23)+1,""))</f>
        <v>19</v>
      </c>
    </row>
    <row r="25" customFormat="false" ht="15" hidden="false" customHeight="false" outlineLevel="0" collapsed="false">
      <c r="A25" s="0" t="str">
        <f aca="false">TRIM(Március!A14)</f>
        <v/>
      </c>
      <c r="B25" s="0" t="str">
        <f aca="false">IF(A25="","",IF(COUNTIF(A$2:A25,A25)=1,MAX(B$1:B24)+1,""))</f>
        <v/>
      </c>
      <c r="D25" s="0" t="str">
        <f aca="false">TRIM(Március!A21)</f>
        <v>Hosszú távú (min. 10 éves, általános célú)</v>
      </c>
      <c r="E25" s="0" t="str">
        <f aca="false">IF(D25="","",IF(COUNTIF(D$2:D25,D25)=1,MAX(E$1:E24)+1,""))</f>
        <v/>
      </c>
      <c r="G25" s="0" t="str">
        <f aca="false">TRIM(Január!A60)</f>
        <v>Autóhitel, lízing részlet</v>
      </c>
      <c r="H25" s="0" t="n">
        <f aca="false">IF(G25="","",IF(COUNTIF(G$2:G25,G25)=1,MAX(H$1:H24)+1,""))</f>
        <v>20</v>
      </c>
    </row>
    <row r="26" customFormat="false" ht="15" hidden="false" customHeight="false" outlineLevel="0" collapsed="false">
      <c r="A26" s="0" t="str">
        <f aca="false">TRIM(Április!A5)</f>
        <v>Munkabér 1 (pl. saját)</v>
      </c>
      <c r="B26" s="0" t="str">
        <f aca="false">IF(A26="","",IF(COUNTIF(A$2:A26,A26)=1,MAX(B$1:B25)+1,""))</f>
        <v/>
      </c>
      <c r="D26" s="0" t="str">
        <f aca="false">TRIM(Március!A22)</f>
        <v>Hosszú távú (min. 10 éves, lakás célú)</v>
      </c>
      <c r="E26" s="0" t="str">
        <f aca="false">IF(D26="","",IF(COUNTIF(D$2:D26,D26)=1,MAX(E$1:E25)+1,""))</f>
        <v/>
      </c>
      <c r="G26" s="0" t="str">
        <f aca="false">TRIM(Január!A61)</f>
        <v>Autómosás, egyéb autós költség</v>
      </c>
      <c r="H26" s="0" t="n">
        <f aca="false">IF(G26="","",IF(COUNTIF(G$2:G26,G26)=1,MAX(H$1:H25)+1,""))</f>
        <v>21</v>
      </c>
    </row>
    <row r="27" customFormat="false" ht="15" hidden="false" customHeight="false" outlineLevel="0" collapsed="false">
      <c r="A27" s="0" t="str">
        <f aca="false">TRIM(Április!A6)</f>
        <v>Munkabér 2 (pl. partner)</v>
      </c>
      <c r="B27" s="0" t="str">
        <f aca="false">IF(A27="","",IF(COUNTIF(A$2:A27,A27)=1,MAX(B$1:B26)+1,""))</f>
        <v/>
      </c>
      <c r="D27" s="0" t="str">
        <f aca="false">TRIM(Március!A23)</f>
        <v>Hosszú távú (min. 10 éves, gyermek jövője célú)</v>
      </c>
      <c r="E27" s="0" t="str">
        <f aca="false">IF(D27="","",IF(COUNTIF(D$2:D27,D27)=1,MAX(E$1:E26)+1,""))</f>
        <v/>
      </c>
      <c r="G27" s="0" t="str">
        <f aca="false">TRIM(Január!A62)</f>
        <v>Tömegközlekedés, bérlet</v>
      </c>
      <c r="H27" s="0" t="n">
        <f aca="false">IF(G27="","",IF(COUNTIF(G$2:G27,G27)=1,MAX(H$1:H26)+1,""))</f>
        <v>22</v>
      </c>
    </row>
    <row r="28" customFormat="false" ht="15" hidden="false" customHeight="false" outlineLevel="0" collapsed="false">
      <c r="A28" s="0" t="str">
        <f aca="false">TRIM(Április!A7)</f>
        <v>Vállalkozói bevétel</v>
      </c>
      <c r="B28" s="0" t="str">
        <f aca="false">IF(A28="","",IF(COUNTIF(A$2:A28,A28)=1,MAX(B$1:B27)+1,""))</f>
        <v/>
      </c>
      <c r="D28" s="0" t="str">
        <f aca="false">TRIM(Március!A24)</f>
        <v>Hosszú távú (min. 15 éves, nyugdíj célú)</v>
      </c>
      <c r="E28" s="0" t="str">
        <f aca="false">IF(D28="","",IF(COUNTIF(D$2:D28,D28)=1,MAX(E$1:E27)+1,""))</f>
        <v/>
      </c>
      <c r="G28" s="0" t="str">
        <f aca="false">TRIM(Január!A63)</f>
        <v>Taxi, roller, bicikli, közösségi közlekedés</v>
      </c>
      <c r="H28" s="0" t="n">
        <f aca="false">IF(G28="","",IF(COUNTIF(G$2:G28,G28)=1,MAX(H$1:H27)+1,""))</f>
        <v>23</v>
      </c>
    </row>
    <row r="29" customFormat="false" ht="15" hidden="false" customHeight="false" outlineLevel="0" collapsed="false">
      <c r="A29" s="0" t="str">
        <f aca="false">TRIM(Április!A8)</f>
        <v/>
      </c>
      <c r="B29" s="0" t="str">
        <f aca="false">IF(A29="","",IF(COUNTIF(A$2:A29,A29)=1,MAX(B$1:B28)+1,""))</f>
        <v/>
      </c>
      <c r="D29" s="0" t="str">
        <f aca="false">TRIM(Március!A25)</f>
        <v>Nyugdíjbiztosítás</v>
      </c>
      <c r="E29" s="0" t="str">
        <f aca="false">IF(D29="","",IF(COUNTIF(D$2:D29,D29)=1,MAX(E$1:E28)+1,""))</f>
        <v/>
      </c>
      <c r="G29" s="0" t="str">
        <f aca="false">TRIM(Január!A64)</f>
        <v/>
      </c>
      <c r="H29" s="0" t="str">
        <f aca="false">IF(G29="","",IF(COUNTIF(G$2:G29,G29)=1,MAX(H$1:H28)+1,""))</f>
        <v/>
      </c>
    </row>
    <row r="30" customFormat="false" ht="15" hidden="false" customHeight="false" outlineLevel="0" collapsed="false">
      <c r="A30" s="0" t="str">
        <f aca="false">TRIM(Április!A11)</f>
        <v>CSED / GYED / GYES</v>
      </c>
      <c r="B30" s="0" t="str">
        <f aca="false">IF(A30="","",IF(COUNTIF(A$2:A30,A30)=1,MAX(B$1:B29)+1,""))</f>
        <v/>
      </c>
      <c r="D30" s="0" t="str">
        <f aca="false">TRIM(Március!A26)</f>
        <v/>
      </c>
      <c r="E30" s="0" t="str">
        <f aca="false">IF(D30="","",IF(COUNTIF(D$2:D30,D30)=1,MAX(E$1:E29)+1,""))</f>
        <v/>
      </c>
      <c r="G30" s="0" t="str">
        <f aca="false">TRIM(Január!A65)</f>
        <v/>
      </c>
      <c r="H30" s="0" t="str">
        <f aca="false">IF(G30="","",IF(COUNTIF(G$2:G30,G30)=1,MAX(H$1:H29)+1,""))</f>
        <v/>
      </c>
    </row>
    <row r="31" customFormat="false" ht="15" hidden="false" customHeight="false" outlineLevel="0" collapsed="false">
      <c r="A31" s="0" t="str">
        <f aca="false">TRIM(Április!A12)</f>
        <v>Családi pótlék</v>
      </c>
      <c r="B31" s="0" t="str">
        <f aca="false">IF(A31="","",IF(COUNTIF(A$2:A31,A31)=1,MAX(B$1:B30)+1,""))</f>
        <v/>
      </c>
      <c r="D31" s="0" t="str">
        <f aca="false">TRIM(Március!A27)</f>
        <v/>
      </c>
      <c r="E31" s="0" t="str">
        <f aca="false">IF(D31="","",IF(COUNTIF(D$2:D31,D31)=1,MAX(E$1:E30)+1,""))</f>
        <v/>
      </c>
      <c r="G31" s="0" t="str">
        <f aca="false">TRIM(Január!A68)</f>
        <v>Gyerek ruha, cipő</v>
      </c>
      <c r="H31" s="0" t="n">
        <f aca="false">IF(G31="","",IF(COUNTIF(G$2:G31,G31)=1,MAX(H$1:H30)+1,""))</f>
        <v>24</v>
      </c>
    </row>
    <row r="32" customFormat="false" ht="15" hidden="false" customHeight="false" outlineLevel="0" collapsed="false">
      <c r="A32" s="0" t="str">
        <f aca="false">TRIM(Április!A13)</f>
        <v>Egyéb (lakáskiadás, bónusz stb.)</v>
      </c>
      <c r="B32" s="0" t="str">
        <f aca="false">IF(A32="","",IF(COUNTIF(A$2:A32,A32)=1,MAX(B$1:B31)+1,""))</f>
        <v/>
      </c>
      <c r="D32" s="0" t="str">
        <f aca="false">TRIM(Április!A18)</f>
        <v>Vésztartalék</v>
      </c>
      <c r="E32" s="0" t="str">
        <f aca="false">IF(D32="","",IF(COUNTIF(D$2:D32,D32)=1,MAX(E$1:E31)+1,""))</f>
        <v/>
      </c>
      <c r="G32" s="0" t="str">
        <f aca="false">TRIM(Január!A69)</f>
        <v>Gyerek étkeztetés (menza)</v>
      </c>
      <c r="H32" s="0" t="n">
        <f aca="false">IF(G32="","",IF(COUNTIF(G$2:G32,G32)=1,MAX(H$1:H31)+1,""))</f>
        <v>25</v>
      </c>
    </row>
    <row r="33" customFormat="false" ht="15" hidden="false" customHeight="false" outlineLevel="0" collapsed="false">
      <c r="A33" s="0" t="str">
        <f aca="false">TRIM(Április!A14)</f>
        <v/>
      </c>
      <c r="B33" s="0" t="str">
        <f aca="false">IF(A33="","",IF(COUNTIF(A$2:A33,A33)=1,MAX(B$1:B32)+1,""))</f>
        <v/>
      </c>
      <c r="D33" s="0" t="str">
        <f aca="false">TRIM(Április!A19)</f>
        <v>Lakástakarékpénztár</v>
      </c>
      <c r="E33" s="0" t="str">
        <f aca="false">IF(D33="","",IF(COUNTIF(D$2:D33,D33)=1,MAX(E$1:E32)+1,""))</f>
        <v/>
      </c>
      <c r="G33" s="0" t="str">
        <f aca="false">TRIM(Január!A70)</f>
        <v>Bölcsőde, óvoda, iskola díjai</v>
      </c>
      <c r="H33" s="0" t="n">
        <f aca="false">IF(G33="","",IF(COUNTIF(G$2:G33,G33)=1,MAX(H$1:H32)+1,""))</f>
        <v>26</v>
      </c>
    </row>
    <row r="34" customFormat="false" ht="15" hidden="false" customHeight="false" outlineLevel="0" collapsed="false">
      <c r="A34" s="0" t="str">
        <f aca="false">TRIM(Május!A5)</f>
        <v>Munkabér 1 (pl. saját)</v>
      </c>
      <c r="B34" s="0" t="str">
        <f aca="false">IF(A34="","",IF(COUNTIF(A$2:A34,A34)=1,MAX(B$1:B33)+1,""))</f>
        <v/>
      </c>
      <c r="D34" s="0" t="str">
        <f aca="false">TRIM(Április!A20)</f>
        <v>Általános cél</v>
      </c>
      <c r="E34" s="0" t="str">
        <f aca="false">IF(D34="","",IF(COUNTIF(D$2:D34,D34)=1,MAX(E$1:E33)+1,""))</f>
        <v/>
      </c>
      <c r="G34" s="0" t="str">
        <f aca="false">TRIM(Január!A71)</f>
        <v>Tankönyv, tanszer</v>
      </c>
      <c r="H34" s="0" t="n">
        <f aca="false">IF(G34="","",IF(COUNTIF(G$2:G34,G34)=1,MAX(H$1:H33)+1,""))</f>
        <v>27</v>
      </c>
    </row>
    <row r="35" customFormat="false" ht="15" hidden="false" customHeight="false" outlineLevel="0" collapsed="false">
      <c r="A35" s="0" t="str">
        <f aca="false">TRIM(Május!A6)</f>
        <v>Munkabér 2 (pl. partner)</v>
      </c>
      <c r="B35" s="0" t="str">
        <f aca="false">IF(A35="","",IF(COUNTIF(A$2:A35,A35)=1,MAX(B$1:B34)+1,""))</f>
        <v/>
      </c>
      <c r="D35" s="0" t="str">
        <f aca="false">TRIM(Április!A21)</f>
        <v>Hosszú távú (min. 10 éves, általános célú)</v>
      </c>
      <c r="E35" s="0" t="str">
        <f aca="false">IF(D35="","",IF(COUNTIF(D$2:D35,D35)=1,MAX(E$1:E34)+1,""))</f>
        <v/>
      </c>
      <c r="G35" s="0" t="str">
        <f aca="false">TRIM(Január!A72)</f>
        <v>Különórák, edzések</v>
      </c>
      <c r="H35" s="0" t="n">
        <f aca="false">IF(G35="","",IF(COUNTIF(G$2:G35,G35)=1,MAX(H$1:H34)+1,""))</f>
        <v>28</v>
      </c>
    </row>
    <row r="36" customFormat="false" ht="15" hidden="false" customHeight="false" outlineLevel="0" collapsed="false">
      <c r="A36" s="0" t="str">
        <f aca="false">TRIM(Május!A7)</f>
        <v>Vállalkozói bevétel</v>
      </c>
      <c r="B36" s="0" t="str">
        <f aca="false">IF(A36="","",IF(COUNTIF(A$2:A36,A36)=1,MAX(B$1:B35)+1,""))</f>
        <v/>
      </c>
      <c r="D36" s="0" t="str">
        <f aca="false">TRIM(Április!A22)</f>
        <v>Hosszú távú (min. 10 éves, lakás célú)</v>
      </c>
      <c r="E36" s="0" t="str">
        <f aca="false">IF(D36="","",IF(COUNTIF(D$2:D36,D36)=1,MAX(E$1:E35)+1,""))</f>
        <v/>
      </c>
      <c r="G36" s="0" t="str">
        <f aca="false">TRIM(Január!A73)</f>
        <v>Magánóra, korrepetálás</v>
      </c>
      <c r="H36" s="0" t="n">
        <f aca="false">IF(G36="","",IF(COUNTIF(G$2:G36,G36)=1,MAX(H$1:H35)+1,""))</f>
        <v>29</v>
      </c>
    </row>
    <row r="37" customFormat="false" ht="15" hidden="false" customHeight="false" outlineLevel="0" collapsed="false">
      <c r="A37" s="0" t="str">
        <f aca="false">TRIM(Május!A8)</f>
        <v/>
      </c>
      <c r="B37" s="0" t="str">
        <f aca="false">IF(A37="","",IF(COUNTIF(A$2:A37,A37)=1,MAX(B$1:B36)+1,""))</f>
        <v/>
      </c>
      <c r="D37" s="0" t="str">
        <f aca="false">TRIM(Április!A23)</f>
        <v>Hosszú távú (min. 10 éves, gyermek jövője célú)</v>
      </c>
      <c r="E37" s="0" t="str">
        <f aca="false">IF(D37="","",IF(COUNTIF(D$2:D37,D37)=1,MAX(E$1:E36)+1,""))</f>
        <v/>
      </c>
      <c r="G37" s="0" t="str">
        <f aca="false">TRIM(Január!A74)</f>
        <v>Zsebpénz</v>
      </c>
      <c r="H37" s="0" t="n">
        <f aca="false">IF(G37="","",IF(COUNTIF(G$2:G37,G37)=1,MAX(H$1:H36)+1,""))</f>
        <v>30</v>
      </c>
    </row>
    <row r="38" customFormat="false" ht="15" hidden="false" customHeight="false" outlineLevel="0" collapsed="false">
      <c r="A38" s="0" t="str">
        <f aca="false">TRIM(Május!A11)</f>
        <v>CSED / GYED / GYES</v>
      </c>
      <c r="B38" s="0" t="str">
        <f aca="false">IF(A38="","",IF(COUNTIF(A$2:A38,A38)=1,MAX(B$1:B37)+1,""))</f>
        <v/>
      </c>
      <c r="D38" s="0" t="str">
        <f aca="false">TRIM(Április!A24)</f>
        <v>Hosszú távú (min. 15 éves, nyugdíj célú)</v>
      </c>
      <c r="E38" s="0" t="str">
        <f aca="false">IF(D38="","",IF(COUNTIF(D$2:D38,D38)=1,MAX(E$1:E37)+1,""))</f>
        <v/>
      </c>
      <c r="G38" s="0" t="str">
        <f aca="false">TRIM(Január!A75)</f>
        <v>Játékok, szórakozás</v>
      </c>
      <c r="H38" s="0" t="n">
        <f aca="false">IF(G38="","",IF(COUNTIF(G$2:G38,G38)=1,MAX(H$1:H37)+1,""))</f>
        <v>31</v>
      </c>
    </row>
    <row r="39" customFormat="false" ht="15" hidden="false" customHeight="false" outlineLevel="0" collapsed="false">
      <c r="A39" s="0" t="str">
        <f aca="false">TRIM(Május!A12)</f>
        <v>Családi pótlék</v>
      </c>
      <c r="B39" s="0" t="str">
        <f aca="false">IF(A39="","",IF(COUNTIF(A$2:A39,A39)=1,MAX(B$1:B38)+1,""))</f>
        <v/>
      </c>
      <c r="D39" s="0" t="str">
        <f aca="false">TRIM(Április!A25)</f>
        <v>Nyugdíjbiztosítás</v>
      </c>
      <c r="E39" s="0" t="str">
        <f aca="false">IF(D39="","",IF(COUNTIF(D$2:D39,D39)=1,MAX(E$1:E38)+1,""))</f>
        <v/>
      </c>
      <c r="G39" s="0" t="str">
        <f aca="false">TRIM(Január!A76)</f>
        <v/>
      </c>
      <c r="H39" s="0" t="str">
        <f aca="false">IF(G39="","",IF(COUNTIF(G$2:G39,G39)=1,MAX(H$1:H38)+1,""))</f>
        <v/>
      </c>
    </row>
    <row r="40" customFormat="false" ht="15" hidden="false" customHeight="false" outlineLevel="0" collapsed="false">
      <c r="A40" s="0" t="str">
        <f aca="false">TRIM(Május!A13)</f>
        <v>Egyéb (lakáskiadás, bónusz stb.)</v>
      </c>
      <c r="B40" s="0" t="str">
        <f aca="false">IF(A40="","",IF(COUNTIF(A$2:A40,A40)=1,MAX(B$1:B39)+1,""))</f>
        <v/>
      </c>
      <c r="D40" s="0" t="str">
        <f aca="false">TRIM(Április!A26)</f>
        <v/>
      </c>
      <c r="E40" s="0" t="str">
        <f aca="false">IF(D40="","",IF(COUNTIF(D$2:D40,D40)=1,MAX(E$1:E39)+1,""))</f>
        <v/>
      </c>
      <c r="G40" s="0" t="str">
        <f aca="false">TRIM(Január!A77)</f>
        <v/>
      </c>
      <c r="H40" s="0" t="str">
        <f aca="false">IF(G40="","",IF(COUNTIF(G$2:G40,G40)=1,MAX(H$1:H39)+1,""))</f>
        <v/>
      </c>
    </row>
    <row r="41" customFormat="false" ht="15" hidden="false" customHeight="false" outlineLevel="0" collapsed="false">
      <c r="A41" s="0" t="str">
        <f aca="false">TRIM(Május!A14)</f>
        <v/>
      </c>
      <c r="B41" s="0" t="str">
        <f aca="false">IF(A41="","",IF(COUNTIF(A$2:A41,A41)=1,MAX(B$1:B40)+1,""))</f>
        <v/>
      </c>
      <c r="D41" s="0" t="str">
        <f aca="false">TRIM(Április!A27)</f>
        <v/>
      </c>
      <c r="E41" s="0" t="str">
        <f aca="false">IF(D41="","",IF(COUNTIF(D$2:D41,D41)=1,MAX(E$1:E40)+1,""))</f>
        <v/>
      </c>
      <c r="G41" s="0" t="str">
        <f aca="false">TRIM(Január!A78)</f>
        <v/>
      </c>
      <c r="H41" s="0" t="str">
        <f aca="false">IF(G41="","",IF(COUNTIF(G$2:G41,G41)=1,MAX(H$1:H40)+1,""))</f>
        <v/>
      </c>
    </row>
    <row r="42" customFormat="false" ht="15" hidden="false" customHeight="false" outlineLevel="0" collapsed="false">
      <c r="A42" s="0" t="str">
        <f aca="false">TRIM(Június!A5)</f>
        <v>Munkabér 1 (pl. saját)</v>
      </c>
      <c r="B42" s="0" t="str">
        <f aca="false">IF(A42="","",IF(COUNTIF(A$2:A42,A42)=1,MAX(B$1:B41)+1,""))</f>
        <v/>
      </c>
      <c r="D42" s="0" t="str">
        <f aca="false">TRIM(Május!A18)</f>
        <v>Vésztartalék</v>
      </c>
      <c r="E42" s="0" t="str">
        <f aca="false">IF(D42="","",IF(COUNTIF(D$2:D42,D42)=1,MAX(E$1:E41)+1,""))</f>
        <v/>
      </c>
      <c r="G42" s="0" t="str">
        <f aca="false">TRIM(Január!A81)</f>
        <v>Ruha</v>
      </c>
      <c r="H42" s="0" t="n">
        <f aca="false">IF(G42="","",IF(COUNTIF(G$2:G42,G42)=1,MAX(H$1:H41)+1,""))</f>
        <v>32</v>
      </c>
    </row>
    <row r="43" customFormat="false" ht="15" hidden="false" customHeight="false" outlineLevel="0" collapsed="false">
      <c r="A43" s="0" t="str">
        <f aca="false">TRIM(Június!A6)</f>
        <v>Munkabér 2 (pl. partner)</v>
      </c>
      <c r="B43" s="0" t="str">
        <f aca="false">IF(A43="","",IF(COUNTIF(A$2:A43,A43)=1,MAX(B$1:B42)+1,""))</f>
        <v/>
      </c>
      <c r="D43" s="0" t="str">
        <f aca="false">TRIM(Május!A19)</f>
        <v>Lakástakarékpénztár</v>
      </c>
      <c r="E43" s="0" t="str">
        <f aca="false">IF(D43="","",IF(COUNTIF(D$2:D43,D43)=1,MAX(E$1:E42)+1,""))</f>
        <v/>
      </c>
      <c r="G43" s="0" t="str">
        <f aca="false">TRIM(Január!A82)</f>
        <v>Cipő</v>
      </c>
      <c r="H43" s="0" t="n">
        <f aca="false">IF(G43="","",IF(COUNTIF(G$2:G43,G43)=1,MAX(H$1:H42)+1,""))</f>
        <v>33</v>
      </c>
    </row>
    <row r="44" customFormat="false" ht="15" hidden="false" customHeight="false" outlineLevel="0" collapsed="false">
      <c r="A44" s="0" t="str">
        <f aca="false">TRIM(Június!A7)</f>
        <v>Vállalkozói bevétel</v>
      </c>
      <c r="B44" s="0" t="str">
        <f aca="false">IF(A44="","",IF(COUNTIF(A$2:A44,A44)=1,MAX(B$1:B43)+1,""))</f>
        <v/>
      </c>
      <c r="D44" s="0" t="str">
        <f aca="false">TRIM(Május!A20)</f>
        <v>Általános cél</v>
      </c>
      <c r="E44" s="0" t="str">
        <f aca="false">IF(D44="","",IF(COUNTIF(D$2:D44,D44)=1,MAX(E$1:E43)+1,""))</f>
        <v/>
      </c>
      <c r="G44" s="0" t="str">
        <f aca="false">TRIM(Január!A83)</f>
        <v>Kiegészítők (táska, ékszer, óra)</v>
      </c>
      <c r="H44" s="0" t="n">
        <f aca="false">IF(G44="","",IF(COUNTIF(G$2:G44,G44)=1,MAX(H$1:H43)+1,""))</f>
        <v>34</v>
      </c>
    </row>
    <row r="45" customFormat="false" ht="15" hidden="false" customHeight="false" outlineLevel="0" collapsed="false">
      <c r="A45" s="0" t="str">
        <f aca="false">TRIM(Június!A8)</f>
        <v/>
      </c>
      <c r="B45" s="0" t="str">
        <f aca="false">IF(A45="","",IF(COUNTIF(A$2:A45,A45)=1,MAX(B$1:B44)+1,""))</f>
        <v/>
      </c>
      <c r="D45" s="0" t="str">
        <f aca="false">TRIM(Május!A21)</f>
        <v>Hosszú távú (min. 10 éves, általános célú)</v>
      </c>
      <c r="E45" s="0" t="str">
        <f aca="false">IF(D45="","",IF(COUNTIF(D$2:D45,D45)=1,MAX(E$1:E44)+1,""))</f>
        <v/>
      </c>
      <c r="G45" s="0" t="str">
        <f aca="false">TRIM(Január!A84)</f>
        <v/>
      </c>
      <c r="H45" s="0" t="str">
        <f aca="false">IF(G45="","",IF(COUNTIF(G$2:G45,G45)=1,MAX(H$1:H44)+1,""))</f>
        <v/>
      </c>
    </row>
    <row r="46" customFormat="false" ht="15" hidden="false" customHeight="false" outlineLevel="0" collapsed="false">
      <c r="A46" s="0" t="str">
        <f aca="false">TRIM(Június!A11)</f>
        <v>CSED / GYED / GYES</v>
      </c>
      <c r="B46" s="0" t="str">
        <f aca="false">IF(A46="","",IF(COUNTIF(A$2:A46,A46)=1,MAX(B$1:B45)+1,""))</f>
        <v/>
      </c>
      <c r="D46" s="0" t="str">
        <f aca="false">TRIM(Május!A22)</f>
        <v>Hosszú távú (min. 10 éves, lakás célú)</v>
      </c>
      <c r="E46" s="0" t="str">
        <f aca="false">IF(D46="","",IF(COUNTIF(D$2:D46,D46)=1,MAX(E$1:E45)+1,""))</f>
        <v/>
      </c>
      <c r="G46" s="0" t="str">
        <f aca="false">TRIM(Január!A87)</f>
        <v>Fodrász, borbély</v>
      </c>
      <c r="H46" s="0" t="n">
        <f aca="false">IF(G46="","",IF(COUNTIF(G$2:G46,G46)=1,MAX(H$1:H45)+1,""))</f>
        <v>35</v>
      </c>
    </row>
    <row r="47" customFormat="false" ht="15" hidden="false" customHeight="false" outlineLevel="0" collapsed="false">
      <c r="A47" s="0" t="str">
        <f aca="false">TRIM(Június!A12)</f>
        <v>Családi pótlék</v>
      </c>
      <c r="B47" s="0" t="str">
        <f aca="false">IF(A47="","",IF(COUNTIF(A$2:A47,A47)=1,MAX(B$1:B46)+1,""))</f>
        <v/>
      </c>
      <c r="D47" s="0" t="str">
        <f aca="false">TRIM(Május!A23)</f>
        <v>Hosszú távú (min. 10 éves, gyermek jövője célú)</v>
      </c>
      <c r="E47" s="0" t="str">
        <f aca="false">IF(D47="","",IF(COUNTIF(D$2:D47,D47)=1,MAX(E$1:E46)+1,""))</f>
        <v/>
      </c>
      <c r="G47" s="0" t="str">
        <f aca="false">TRIM(Január!A88)</f>
        <v>Kozmetikus, manikűr, pedikűr</v>
      </c>
      <c r="H47" s="0" t="n">
        <f aca="false">IF(G47="","",IF(COUNTIF(G$2:G47,G47)=1,MAX(H$1:H46)+1,""))</f>
        <v>36</v>
      </c>
    </row>
    <row r="48" customFormat="false" ht="15" hidden="false" customHeight="false" outlineLevel="0" collapsed="false">
      <c r="A48" s="0" t="str">
        <f aca="false">TRIM(Június!A13)</f>
        <v>Egyéb (lakáskiadás, bónusz stb.)</v>
      </c>
      <c r="B48" s="0" t="str">
        <f aca="false">IF(A48="","",IF(COUNTIF(A$2:A48,A48)=1,MAX(B$1:B47)+1,""))</f>
        <v/>
      </c>
      <c r="D48" s="0" t="str">
        <f aca="false">TRIM(Május!A24)</f>
        <v>Hosszú távú (min. 15 éves, nyugdíj célú)</v>
      </c>
      <c r="E48" s="0" t="str">
        <f aca="false">IF(D48="","",IF(COUNTIF(D$2:D48,D48)=1,MAX(E$1:E47)+1,""))</f>
        <v/>
      </c>
      <c r="G48" s="0" t="str">
        <f aca="false">TRIM(Január!A89)</f>
        <v>Kozmetikumok, parfüm</v>
      </c>
      <c r="H48" s="0" t="n">
        <f aca="false">IF(G48="","",IF(COUNTIF(G$2:G48,G48)=1,MAX(H$1:H47)+1,""))</f>
        <v>37</v>
      </c>
    </row>
    <row r="49" customFormat="false" ht="15" hidden="false" customHeight="false" outlineLevel="0" collapsed="false">
      <c r="A49" s="0" t="str">
        <f aca="false">TRIM(Június!A14)</f>
        <v/>
      </c>
      <c r="B49" s="0" t="str">
        <f aca="false">IF(A49="","",IF(COUNTIF(A$2:A49,A49)=1,MAX(B$1:B48)+1,""))</f>
        <v/>
      </c>
      <c r="D49" s="0" t="str">
        <f aca="false">TRIM(Május!A25)</f>
        <v>Nyugdíjbiztosítás</v>
      </c>
      <c r="E49" s="0" t="str">
        <f aca="false">IF(D49="","",IF(COUNTIF(D$2:D49,D49)=1,MAX(E$1:E48)+1,""))</f>
        <v/>
      </c>
      <c r="G49" s="0" t="str">
        <f aca="false">TRIM(Január!A90)</f>
        <v>Edzés, sport, bérlet</v>
      </c>
      <c r="H49" s="0" t="n">
        <f aca="false">IF(G49="","",IF(COUNTIF(G$2:G49,G49)=1,MAX(H$1:H48)+1,""))</f>
        <v>38</v>
      </c>
    </row>
    <row r="50" customFormat="false" ht="15" hidden="false" customHeight="false" outlineLevel="0" collapsed="false">
      <c r="A50" s="0" t="str">
        <f aca="false">TRIM(Július!A5)</f>
        <v>Munkabér 1 (pl. saját)</v>
      </c>
      <c r="B50" s="0" t="str">
        <f aca="false">IF(A50="","",IF(COUNTIF(A$2:A50,A50)=1,MAX(B$1:B49)+1,""))</f>
        <v/>
      </c>
      <c r="D50" s="0" t="str">
        <f aca="false">TRIM(Május!A26)</f>
        <v/>
      </c>
      <c r="E50" s="0" t="str">
        <f aca="false">IF(D50="","",IF(COUNTIF(D$2:D50,D50)=1,MAX(E$1:E49)+1,""))</f>
        <v/>
      </c>
      <c r="G50" s="0" t="str">
        <f aca="false">TRIM(Január!A91)</f>
        <v>Gyógyszer, vitamin</v>
      </c>
      <c r="H50" s="0" t="n">
        <f aca="false">IF(G50="","",IF(COUNTIF(G$2:G50,G50)=1,MAX(H$1:H49)+1,""))</f>
        <v>39</v>
      </c>
    </row>
    <row r="51" customFormat="false" ht="15" hidden="false" customHeight="false" outlineLevel="0" collapsed="false">
      <c r="A51" s="0" t="str">
        <f aca="false">TRIM(Július!A6)</f>
        <v>Munkabér 2 (pl. partner)</v>
      </c>
      <c r="B51" s="0" t="str">
        <f aca="false">IF(A51="","",IF(COUNTIF(A$2:A51,A51)=1,MAX(B$1:B50)+1,""))</f>
        <v/>
      </c>
      <c r="D51" s="0" t="str">
        <f aca="false">TRIM(Május!A27)</f>
        <v/>
      </c>
      <c r="E51" s="0" t="str">
        <f aca="false">IF(D51="","",IF(COUNTIF(D$2:D51,D51)=1,MAX(E$1:E50)+1,""))</f>
        <v/>
      </c>
      <c r="G51" s="0" t="str">
        <f aca="false">TRIM(Január!A92)</f>
        <v>Orvos, fogorvos, magánrendelés</v>
      </c>
      <c r="H51" s="0" t="n">
        <f aca="false">IF(G51="","",IF(COUNTIF(G$2:G51,G51)=1,MAX(H$1:H50)+1,""))</f>
        <v>40</v>
      </c>
    </row>
    <row r="52" customFormat="false" ht="15" hidden="false" customHeight="false" outlineLevel="0" collapsed="false">
      <c r="A52" s="0" t="str">
        <f aca="false">TRIM(Július!A7)</f>
        <v>Vállalkozói bevétel</v>
      </c>
      <c r="B52" s="0" t="str">
        <f aca="false">IF(A52="","",IF(COUNTIF(A$2:A52,A52)=1,MAX(B$1:B51)+1,""))</f>
        <v/>
      </c>
      <c r="D52" s="0" t="str">
        <f aca="false">TRIM(Június!A18)</f>
        <v>Vésztartalék</v>
      </c>
      <c r="E52" s="0" t="str">
        <f aca="false">IF(D52="","",IF(COUNTIF(D$2:D52,D52)=1,MAX(E$1:E51)+1,""))</f>
        <v/>
      </c>
      <c r="G52" s="0" t="str">
        <f aca="false">TRIM(Január!A93)</f>
        <v/>
      </c>
      <c r="H52" s="0" t="str">
        <f aca="false">IF(G52="","",IF(COUNTIF(G$2:G52,G52)=1,MAX(H$1:H51)+1,""))</f>
        <v/>
      </c>
    </row>
    <row r="53" customFormat="false" ht="15" hidden="false" customHeight="false" outlineLevel="0" collapsed="false">
      <c r="A53" s="0" t="str">
        <f aca="false">TRIM(Július!A8)</f>
        <v/>
      </c>
      <c r="B53" s="0" t="str">
        <f aca="false">IF(A53="","",IF(COUNTIF(A$2:A53,A53)=1,MAX(B$1:B52)+1,""))</f>
        <v/>
      </c>
      <c r="D53" s="0" t="str">
        <f aca="false">TRIM(Június!A19)</f>
        <v>Lakástakarékpénztár</v>
      </c>
      <c r="E53" s="0" t="str">
        <f aca="false">IF(D53="","",IF(COUNTIF(D$2:D53,D53)=1,MAX(E$1:E52)+1,""))</f>
        <v/>
      </c>
      <c r="G53" s="0" t="str">
        <f aca="false">TRIM(Január!A96)</f>
        <v>Cigaretta, dohány</v>
      </c>
      <c r="H53" s="0" t="n">
        <f aca="false">IF(G53="","",IF(COUNTIF(G$2:G53,G53)=1,MAX(H$1:H52)+1,""))</f>
        <v>41</v>
      </c>
    </row>
    <row r="54" customFormat="false" ht="15" hidden="false" customHeight="false" outlineLevel="0" collapsed="false">
      <c r="A54" s="0" t="str">
        <f aca="false">TRIM(Július!A11)</f>
        <v>CSED / GYED / GYES</v>
      </c>
      <c r="B54" s="0" t="str">
        <f aca="false">IF(A54="","",IF(COUNTIF(A$2:A54,A54)=1,MAX(B$1:B53)+1,""))</f>
        <v/>
      </c>
      <c r="D54" s="0" t="str">
        <f aca="false">TRIM(Június!A20)</f>
        <v>Általános cél</v>
      </c>
      <c r="E54" s="0" t="str">
        <f aca="false">IF(D54="","",IF(COUNTIF(D$2:D54,D54)=1,MAX(E$1:E53)+1,""))</f>
        <v/>
      </c>
      <c r="G54" s="0" t="str">
        <f aca="false">TRIM(Január!A97)</f>
        <v>E-cigaretta, hevített dohánytermék</v>
      </c>
      <c r="H54" s="0" t="n">
        <f aca="false">IF(G54="","",IF(COUNTIF(G$2:G54,G54)=1,MAX(H$1:H53)+1,""))</f>
        <v>42</v>
      </c>
    </row>
    <row r="55" customFormat="false" ht="15" hidden="false" customHeight="false" outlineLevel="0" collapsed="false">
      <c r="A55" s="0" t="str">
        <f aca="false">TRIM(Július!A12)</f>
        <v>Családi pótlék</v>
      </c>
      <c r="B55" s="0" t="str">
        <f aca="false">IF(A55="","",IF(COUNTIF(A$2:A55,A55)=1,MAX(B$1:B54)+1,""))</f>
        <v/>
      </c>
      <c r="D55" s="0" t="str">
        <f aca="false">TRIM(Június!A21)</f>
        <v>Hosszú távú (min. 10 éves, általános célú)</v>
      </c>
      <c r="E55" s="0" t="str">
        <f aca="false">IF(D55="","",IF(COUNTIF(D$2:D55,D55)=1,MAX(E$1:E54)+1,""))</f>
        <v/>
      </c>
      <c r="G55" s="0" t="str">
        <f aca="false">TRIM(Január!A98)</f>
        <v/>
      </c>
      <c r="H55" s="0" t="str">
        <f aca="false">IF(G55="","",IF(COUNTIF(G$2:G55,G55)=1,MAX(H$1:H54)+1,""))</f>
        <v/>
      </c>
    </row>
    <row r="56" customFormat="false" ht="15" hidden="false" customHeight="false" outlineLevel="0" collapsed="false">
      <c r="A56" s="0" t="str">
        <f aca="false">TRIM(Július!A13)</f>
        <v>Egyéb (lakáskiadás, bónusz stb.)</v>
      </c>
      <c r="B56" s="0" t="str">
        <f aca="false">IF(A56="","",IF(COUNTIF(A$2:A56,A56)=1,MAX(B$1:B55)+1,""))</f>
        <v/>
      </c>
      <c r="D56" s="0" t="str">
        <f aca="false">TRIM(Június!A22)</f>
        <v>Hosszú távú (min. 10 éves, lakás célú)</v>
      </c>
      <c r="E56" s="0" t="str">
        <f aca="false">IF(D56="","",IF(COUNTIF(D$2:D56,D56)=1,MAX(E$1:E55)+1,""))</f>
        <v/>
      </c>
      <c r="G56" s="0" t="str">
        <f aca="false">TRIM(Január!A101)</f>
        <v>Állateledel, jutalomfalat</v>
      </c>
      <c r="H56" s="0" t="n">
        <f aca="false">IF(G56="","",IF(COUNTIF(G$2:G56,G56)=1,MAX(H$1:H55)+1,""))</f>
        <v>43</v>
      </c>
    </row>
    <row r="57" customFormat="false" ht="15" hidden="false" customHeight="false" outlineLevel="0" collapsed="false">
      <c r="A57" s="0" t="str">
        <f aca="false">TRIM(Július!A14)</f>
        <v/>
      </c>
      <c r="B57" s="0" t="str">
        <f aca="false">IF(A57="","",IF(COUNTIF(A$2:A57,A57)=1,MAX(B$1:B56)+1,""))</f>
        <v/>
      </c>
      <c r="D57" s="0" t="str">
        <f aca="false">TRIM(Június!A23)</f>
        <v>Hosszú távú (min. 10 éves, gyermek jövője célú)</v>
      </c>
      <c r="E57" s="0" t="str">
        <f aca="false">IF(D57="","",IF(COUNTIF(D$2:D57,D57)=1,MAX(E$1:E56)+1,""))</f>
        <v/>
      </c>
      <c r="G57" s="0" t="str">
        <f aca="false">TRIM(Január!A102)</f>
        <v>Állatorvos, oltások, gyógyszer</v>
      </c>
      <c r="H57" s="0" t="n">
        <f aca="false">IF(G57="","",IF(COUNTIF(G$2:G57,G57)=1,MAX(H$1:H56)+1,""))</f>
        <v>44</v>
      </c>
    </row>
    <row r="58" customFormat="false" ht="15" hidden="false" customHeight="false" outlineLevel="0" collapsed="false">
      <c r="A58" s="0" t="str">
        <f aca="false">TRIM(Augusztus!A5)</f>
        <v>Munkabér 1 (pl. saját)</v>
      </c>
      <c r="B58" s="0" t="str">
        <f aca="false">IF(A58="","",IF(COUNTIF(A$2:A58,A58)=1,MAX(B$1:B57)+1,""))</f>
        <v/>
      </c>
      <c r="D58" s="0" t="str">
        <f aca="false">TRIM(Június!A24)</f>
        <v>Hosszú távú (min. 15 éves, nyugdíj célú)</v>
      </c>
      <c r="E58" s="0" t="str">
        <f aca="false">IF(D58="","",IF(COUNTIF(D$2:D58,D58)=1,MAX(E$1:E57)+1,""))</f>
        <v/>
      </c>
      <c r="G58" s="0" t="str">
        <f aca="false">TRIM(Január!A103)</f>
        <v>Felszerelés, alom, játékok</v>
      </c>
      <c r="H58" s="0" t="n">
        <f aca="false">IF(G58="","",IF(COUNTIF(G$2:G58,G58)=1,MAX(H$1:H57)+1,""))</f>
        <v>45</v>
      </c>
    </row>
    <row r="59" customFormat="false" ht="15" hidden="false" customHeight="false" outlineLevel="0" collapsed="false">
      <c r="A59" s="0" t="str">
        <f aca="false">TRIM(Augusztus!A6)</f>
        <v>Munkabér 2 (pl. partner)</v>
      </c>
      <c r="B59" s="0" t="str">
        <f aca="false">IF(A59="","",IF(COUNTIF(A$2:A59,A59)=1,MAX(B$1:B58)+1,""))</f>
        <v/>
      </c>
      <c r="D59" s="0" t="str">
        <f aca="false">TRIM(Június!A25)</f>
        <v>Nyugdíjbiztosítás</v>
      </c>
      <c r="E59" s="0" t="str">
        <f aca="false">IF(D59="","",IF(COUNTIF(D$2:D59,D59)=1,MAX(E$1:E58)+1,""))</f>
        <v/>
      </c>
      <c r="G59" s="0" t="str">
        <f aca="false">TRIM(Január!A104)</f>
        <v>Kisállat-kozmetika, panzió, kutyaiskola</v>
      </c>
      <c r="H59" s="0" t="n">
        <f aca="false">IF(G59="","",IF(COUNTIF(G$2:G59,G59)=1,MAX(H$1:H58)+1,""))</f>
        <v>46</v>
      </c>
    </row>
    <row r="60" customFormat="false" ht="15" hidden="false" customHeight="false" outlineLevel="0" collapsed="false">
      <c r="A60" s="0" t="str">
        <f aca="false">TRIM(Augusztus!A7)</f>
        <v>Vállalkozói bevétel</v>
      </c>
      <c r="B60" s="0" t="str">
        <f aca="false">IF(A60="","",IF(COUNTIF(A$2:A60,A60)=1,MAX(B$1:B59)+1,""))</f>
        <v/>
      </c>
      <c r="D60" s="0" t="str">
        <f aca="false">TRIM(Június!A26)</f>
        <v/>
      </c>
      <c r="E60" s="0" t="str">
        <f aca="false">IF(D60="","",IF(COUNTIF(D$2:D60,D60)=1,MAX(E$1:E59)+1,""))</f>
        <v/>
      </c>
      <c r="G60" s="0" t="str">
        <f aca="false">TRIM(Január!A105)</f>
        <v/>
      </c>
      <c r="H60" s="0" t="str">
        <f aca="false">IF(G60="","",IF(COUNTIF(G$2:G60,G60)=1,MAX(H$1:H59)+1,""))</f>
        <v/>
      </c>
    </row>
    <row r="61" customFormat="false" ht="15" hidden="false" customHeight="false" outlineLevel="0" collapsed="false">
      <c r="A61" s="0" t="str">
        <f aca="false">TRIM(Augusztus!A8)</f>
        <v/>
      </c>
      <c r="B61" s="0" t="str">
        <f aca="false">IF(A61="","",IF(COUNTIF(A$2:A61,A61)=1,MAX(B$1:B60)+1,""))</f>
        <v/>
      </c>
      <c r="D61" s="0" t="str">
        <f aca="false">TRIM(Június!A27)</f>
        <v/>
      </c>
      <c r="E61" s="0" t="str">
        <f aca="false">IF(D61="","",IF(COUNTIF(D$2:D61,D61)=1,MAX(E$1:E60)+1,""))</f>
        <v/>
      </c>
      <c r="G61" s="0" t="str">
        <f aca="false">TRIM(Január!A108)</f>
        <v>Hobbi</v>
      </c>
      <c r="H61" s="0" t="n">
        <f aca="false">IF(G61="","",IF(COUNTIF(G$2:G61,G61)=1,MAX(H$1:H60)+1,""))</f>
        <v>47</v>
      </c>
    </row>
    <row r="62" customFormat="false" ht="15" hidden="false" customHeight="false" outlineLevel="0" collapsed="false">
      <c r="A62" s="0" t="str">
        <f aca="false">TRIM(Augusztus!A11)</f>
        <v>CSED / GYED / GYES</v>
      </c>
      <c r="B62" s="0" t="str">
        <f aca="false">IF(A62="","",IF(COUNTIF(A$2:A62,A62)=1,MAX(B$1:B61)+1,""))</f>
        <v/>
      </c>
      <c r="D62" s="0" t="str">
        <f aca="false">TRIM(Július!A18)</f>
        <v>Vésztartalék</v>
      </c>
      <c r="E62" s="0" t="str">
        <f aca="false">IF(D62="","",IF(COUNTIF(D$2:D62,D62)=1,MAX(E$1:E61)+1,""))</f>
        <v/>
      </c>
      <c r="G62" s="0" t="str">
        <f aca="false">TRIM(Január!A109)</f>
        <v>Szórakozás (mozi, színház, koncert, étterem)</v>
      </c>
      <c r="H62" s="0" t="n">
        <f aca="false">IF(G62="","",IF(COUNTIF(G$2:G62,G62)=1,MAX(H$1:H61)+1,""))</f>
        <v>48</v>
      </c>
    </row>
    <row r="63" customFormat="false" ht="15" hidden="false" customHeight="false" outlineLevel="0" collapsed="false">
      <c r="A63" s="0" t="str">
        <f aca="false">TRIM(Augusztus!A12)</f>
        <v>Családi pótlék</v>
      </c>
      <c r="B63" s="0" t="str">
        <f aca="false">IF(A63="","",IF(COUNTIF(A$2:A63,A63)=1,MAX(B$1:B62)+1,""))</f>
        <v/>
      </c>
      <c r="D63" s="0" t="str">
        <f aca="false">TRIM(Július!A19)</f>
        <v>Lakástakarékpénztár</v>
      </c>
      <c r="E63" s="0" t="str">
        <f aca="false">IF(D63="","",IF(COUNTIF(D$2:D63,D63)=1,MAX(E$1:E62)+1,""))</f>
        <v/>
      </c>
      <c r="G63" s="0" t="str">
        <f aca="false">TRIM(Január!A110)</f>
        <v>Nyaralás, utazás</v>
      </c>
      <c r="H63" s="0" t="n">
        <f aca="false">IF(G63="","",IF(COUNTIF(G$2:G63,G63)=1,MAX(H$1:H62)+1,""))</f>
        <v>49</v>
      </c>
    </row>
    <row r="64" customFormat="false" ht="15" hidden="false" customHeight="false" outlineLevel="0" collapsed="false">
      <c r="A64" s="0" t="str">
        <f aca="false">TRIM(Augusztus!A13)</f>
        <v>Egyéb (lakáskiadás, bónusz stb.)</v>
      </c>
      <c r="B64" s="0" t="str">
        <f aca="false">IF(A64="","",IF(COUNTIF(A$2:A64,A64)=1,MAX(B$1:B63)+1,""))</f>
        <v/>
      </c>
      <c r="D64" s="0" t="str">
        <f aca="false">TRIM(Július!A20)</f>
        <v>Általános cél</v>
      </c>
      <c r="E64" s="0" t="str">
        <f aca="false">IF(D64="","",IF(COUNTIF(D$2:D64,D64)=1,MAX(E$1:E63)+1,""))</f>
        <v/>
      </c>
      <c r="G64" s="0" t="str">
        <f aca="false">TRIM(Január!A111)</f>
        <v/>
      </c>
      <c r="H64" s="0" t="str">
        <f aca="false">IF(G64="","",IF(COUNTIF(G$2:G64,G64)=1,MAX(H$1:H63)+1,""))</f>
        <v/>
      </c>
    </row>
    <row r="65" customFormat="false" ht="15" hidden="false" customHeight="false" outlineLevel="0" collapsed="false">
      <c r="A65" s="0" t="str">
        <f aca="false">TRIM(Augusztus!A14)</f>
        <v/>
      </c>
      <c r="B65" s="0" t="str">
        <f aca="false">IF(A65="","",IF(COUNTIF(A$2:A65,A65)=1,MAX(B$1:B64)+1,""))</f>
        <v/>
      </c>
      <c r="D65" s="0" t="str">
        <f aca="false">TRIM(Július!A21)</f>
        <v>Hosszú távú (min. 10 éves, általános célú)</v>
      </c>
      <c r="E65" s="0" t="str">
        <f aca="false">IF(D65="","",IF(COUNTIF(D$2:D65,D65)=1,MAX(E$1:E64)+1,""))</f>
        <v/>
      </c>
      <c r="G65" s="0" t="str">
        <f aca="false">TRIM(Január!A114)</f>
        <v>Ünnepek, ajándékok</v>
      </c>
      <c r="H65" s="0" t="n">
        <f aca="false">IF(G65="","",IF(COUNTIF(G$2:G65,G65)=1,MAX(H$1:H64)+1,""))</f>
        <v>50</v>
      </c>
    </row>
    <row r="66" customFormat="false" ht="15" hidden="false" customHeight="false" outlineLevel="0" collapsed="false">
      <c r="A66" s="0" t="str">
        <f aca="false">TRIM(Szeptember!A5)</f>
        <v>Munkabér 1 (pl. saját)</v>
      </c>
      <c r="B66" s="0" t="str">
        <f aca="false">IF(A66="","",IF(COUNTIF(A$2:A66,A66)=1,MAX(B$1:B65)+1,""))</f>
        <v/>
      </c>
      <c r="D66" s="0" t="str">
        <f aca="false">TRIM(Július!A22)</f>
        <v>Hosszú távú (min. 10 éves, lakás célú)</v>
      </c>
      <c r="E66" s="0" t="str">
        <f aca="false">IF(D66="","",IF(COUNTIF(D$2:D66,D66)=1,MAX(E$1:E65)+1,""))</f>
        <v/>
      </c>
      <c r="G66" s="0" t="str">
        <f aca="false">TRIM(Január!A115)</f>
        <v>Egyéb kiadás</v>
      </c>
      <c r="H66" s="0" t="n">
        <f aca="false">IF(G66="","",IF(COUNTIF(G$2:G66,G66)=1,MAX(H$1:H65)+1,""))</f>
        <v>51</v>
      </c>
    </row>
    <row r="67" customFormat="false" ht="15" hidden="false" customHeight="false" outlineLevel="0" collapsed="false">
      <c r="A67" s="0" t="str">
        <f aca="false">TRIM(Szeptember!A6)</f>
        <v>Munkabér 2 (pl. partner)</v>
      </c>
      <c r="B67" s="0" t="str">
        <f aca="false">IF(A67="","",IF(COUNTIF(A$2:A67,A67)=1,MAX(B$1:B66)+1,""))</f>
        <v/>
      </c>
      <c r="D67" s="0" t="str">
        <f aca="false">TRIM(Július!A23)</f>
        <v>Hosszú távú (min. 10 éves, gyermek jövője célú)</v>
      </c>
      <c r="E67" s="0" t="str">
        <f aca="false">IF(D67="","",IF(COUNTIF(D$2:D67,D67)=1,MAX(E$1:E66)+1,""))</f>
        <v/>
      </c>
      <c r="G67" s="0" t="str">
        <f aca="false">TRIM(Január!A116)</f>
        <v/>
      </c>
      <c r="H67" s="0" t="str">
        <f aca="false">IF(G67="","",IF(COUNTIF(G$2:G67,G67)=1,MAX(H$1:H66)+1,""))</f>
        <v/>
      </c>
    </row>
    <row r="68" customFormat="false" ht="15" hidden="false" customHeight="false" outlineLevel="0" collapsed="false">
      <c r="A68" s="0" t="str">
        <f aca="false">TRIM(Szeptember!A7)</f>
        <v>Vállalkozói bevétel</v>
      </c>
      <c r="B68" s="0" t="str">
        <f aca="false">IF(A68="","",IF(COUNTIF(A$2:A68,A68)=1,MAX(B$1:B67)+1,""))</f>
        <v/>
      </c>
      <c r="D68" s="0" t="str">
        <f aca="false">TRIM(Július!A24)</f>
        <v>Hosszú távú (min. 15 éves, nyugdíj célú)</v>
      </c>
      <c r="E68" s="0" t="str">
        <f aca="false">IF(D68="","",IF(COUNTIF(D$2:D68,D68)=1,MAX(E$1:E67)+1,""))</f>
        <v/>
      </c>
      <c r="G68" s="0" t="str">
        <f aca="false">TRIM(Február!A31)</f>
        <v>Albérleti díj / lakáshitel</v>
      </c>
      <c r="H68" s="0" t="str">
        <f aca="false">IF(G68="","",IF(COUNTIF(G$2:G68,G68)=1,MAX(H$1:H67)+1,""))</f>
        <v/>
      </c>
    </row>
    <row r="69" customFormat="false" ht="15" hidden="false" customHeight="false" outlineLevel="0" collapsed="false">
      <c r="A69" s="0" t="str">
        <f aca="false">TRIM(Szeptember!A8)</f>
        <v/>
      </c>
      <c r="B69" s="0" t="str">
        <f aca="false">IF(A69="","",IF(COUNTIF(A$2:A69,A69)=1,MAX(B$1:B68)+1,""))</f>
        <v/>
      </c>
      <c r="D69" s="0" t="str">
        <f aca="false">TRIM(Július!A25)</f>
        <v>Nyugdíjbiztosítás</v>
      </c>
      <c r="E69" s="0" t="str">
        <f aca="false">IF(D69="","",IF(COUNTIF(D$2:D69,D69)=1,MAX(E$1:E68)+1,""))</f>
        <v/>
      </c>
      <c r="G69" s="0" t="str">
        <f aca="false">TRIM(Február!A32)</f>
        <v>Rezsi (közművek, közös költség)</v>
      </c>
      <c r="H69" s="0" t="str">
        <f aca="false">IF(G69="","",IF(COUNTIF(G$2:G69,G69)=1,MAX(H$1:H68)+1,""))</f>
        <v/>
      </c>
    </row>
    <row r="70" customFormat="false" ht="15" hidden="false" customHeight="false" outlineLevel="0" collapsed="false">
      <c r="A70" s="0" t="str">
        <f aca="false">TRIM(Szeptember!A11)</f>
        <v>CSED / GYED / GYES</v>
      </c>
      <c r="B70" s="0" t="str">
        <f aca="false">IF(A70="","",IF(COUNTIF(A$2:A70,A70)=1,MAX(B$1:B69)+1,""))</f>
        <v/>
      </c>
      <c r="D70" s="0" t="str">
        <f aca="false">TRIM(Július!A26)</f>
        <v/>
      </c>
      <c r="E70" s="0" t="str">
        <f aca="false">IF(D70="","",IF(COUNTIF(D$2:D70,D70)=1,MAX(E$1:E69)+1,""))</f>
        <v/>
      </c>
      <c r="G70" s="0" t="str">
        <f aca="false">TRIM(Február!A33)</f>
        <v>Telefon, internet, digitális előfizetések</v>
      </c>
      <c r="H70" s="0" t="str">
        <f aca="false">IF(G70="","",IF(COUNTIF(G$2:G70,G70)=1,MAX(H$1:H69)+1,""))</f>
        <v/>
      </c>
    </row>
    <row r="71" customFormat="false" ht="15" hidden="false" customHeight="false" outlineLevel="0" collapsed="false">
      <c r="A71" s="0" t="str">
        <f aca="false">TRIM(Szeptember!A12)</f>
        <v>Családi pótlék</v>
      </c>
      <c r="B71" s="0" t="str">
        <f aca="false">IF(A71="","",IF(COUNTIF(A$2:A71,A71)=1,MAX(B$1:B70)+1,""))</f>
        <v/>
      </c>
      <c r="D71" s="0" t="str">
        <f aca="false">TRIM(Július!A27)</f>
        <v/>
      </c>
      <c r="E71" s="0" t="str">
        <f aca="false">IF(D71="","",IF(COUNTIF(D$2:D71,D71)=1,MAX(E$1:E70)+1,""))</f>
        <v/>
      </c>
      <c r="G71" s="0" t="str">
        <f aca="false">TRIM(Február!A34)</f>
        <v/>
      </c>
      <c r="H71" s="0" t="str">
        <f aca="false">IF(G71="","",IF(COUNTIF(G$2:G71,G71)=1,MAX(H$1:H70)+1,""))</f>
        <v/>
      </c>
    </row>
    <row r="72" customFormat="false" ht="15" hidden="false" customHeight="false" outlineLevel="0" collapsed="false">
      <c r="A72" s="0" t="str">
        <f aca="false">TRIM(Szeptember!A13)</f>
        <v>Egyéb (lakáskiadás, bónusz stb.)</v>
      </c>
      <c r="B72" s="0" t="str">
        <f aca="false">IF(A72="","",IF(COUNTIF(A$2:A72,A72)=1,MAX(B$1:B71)+1,""))</f>
        <v/>
      </c>
      <c r="D72" s="0" t="str">
        <f aca="false">TRIM(Augusztus!A18)</f>
        <v>Vésztartalék</v>
      </c>
      <c r="E72" s="0" t="str">
        <f aca="false">IF(D72="","",IF(COUNTIF(D$2:D72,D72)=1,MAX(E$1:E71)+1,""))</f>
        <v/>
      </c>
      <c r="G72" s="0" t="str">
        <f aca="false">TRIM(Február!A37)</f>
        <v>Nagybevásárlások</v>
      </c>
      <c r="H72" s="0" t="str">
        <f aca="false">IF(G72="","",IF(COUNTIF(G$2:G72,G72)=1,MAX(H$1:H71)+1,""))</f>
        <v/>
      </c>
    </row>
    <row r="73" customFormat="false" ht="15" hidden="false" customHeight="false" outlineLevel="0" collapsed="false">
      <c r="A73" s="0" t="str">
        <f aca="false">TRIM(Szeptember!A14)</f>
        <v/>
      </c>
      <c r="B73" s="0" t="str">
        <f aca="false">IF(A73="","",IF(COUNTIF(A$2:A73,A73)=1,MAX(B$1:B72)+1,""))</f>
        <v/>
      </c>
      <c r="D73" s="0" t="str">
        <f aca="false">TRIM(Augusztus!A19)</f>
        <v>Lakástakarékpénztár</v>
      </c>
      <c r="E73" s="0" t="str">
        <f aca="false">IF(D73="","",IF(COUNTIF(D$2:D73,D73)=1,MAX(E$1:E72)+1,""))</f>
        <v/>
      </c>
      <c r="G73" s="0" t="str">
        <f aca="false">TRIM(Február!A38)</f>
        <v>Drogéria</v>
      </c>
      <c r="H73" s="0" t="str">
        <f aca="false">IF(G73="","",IF(COUNTIF(G$2:G73,G73)=1,MAX(H$1:H72)+1,""))</f>
        <v/>
      </c>
    </row>
    <row r="74" customFormat="false" ht="15" hidden="false" customHeight="false" outlineLevel="0" collapsed="false">
      <c r="A74" s="0" t="str">
        <f aca="false">TRIM(Október!A5)</f>
        <v>Munkabér 1 (pl. saját)</v>
      </c>
      <c r="B74" s="0" t="str">
        <f aca="false">IF(A74="","",IF(COUNTIF(A$2:A74,A74)=1,MAX(B$1:B73)+1,""))</f>
        <v/>
      </c>
      <c r="D74" s="0" t="str">
        <f aca="false">TRIM(Augusztus!A20)</f>
        <v>Általános cél</v>
      </c>
      <c r="E74" s="0" t="str">
        <f aca="false">IF(D74="","",IF(COUNTIF(D$2:D74,D74)=1,MAX(E$1:E73)+1,""))</f>
        <v/>
      </c>
      <c r="G74" s="0" t="str">
        <f aca="false">TRIM(Február!A39)</f>
        <v>Ételrendelés</v>
      </c>
      <c r="H74" s="0" t="str">
        <f aca="false">IF(G74="","",IF(COUNTIF(G$2:G74,G74)=1,MAX(H$1:H73)+1,""))</f>
        <v/>
      </c>
    </row>
    <row r="75" customFormat="false" ht="15" hidden="false" customHeight="false" outlineLevel="0" collapsed="false">
      <c r="A75" s="0" t="str">
        <f aca="false">TRIM(Október!A6)</f>
        <v>Munkabér 2 (pl. partner)</v>
      </c>
      <c r="B75" s="0" t="str">
        <f aca="false">IF(A75="","",IF(COUNTIF(A$2:A75,A75)=1,MAX(B$1:B74)+1,""))</f>
        <v/>
      </c>
      <c r="D75" s="0" t="str">
        <f aca="false">TRIM(Augusztus!A21)</f>
        <v>Hosszú távú (min. 10 éves, általános célú)</v>
      </c>
      <c r="E75" s="0" t="str">
        <f aca="false">IF(D75="","",IF(COUNTIF(D$2:D75,D75)=1,MAX(E$1:E74)+1,""))</f>
        <v/>
      </c>
      <c r="G75" s="0" t="str">
        <f aca="false">TRIM(Február!A40)</f>
        <v>Egyéb élelmiszer, bevásárlás</v>
      </c>
      <c r="H75" s="0" t="str">
        <f aca="false">IF(G75="","",IF(COUNTIF(G$2:G75,G75)=1,MAX(H$1:H74)+1,""))</f>
        <v/>
      </c>
    </row>
    <row r="76" customFormat="false" ht="15" hidden="false" customHeight="false" outlineLevel="0" collapsed="false">
      <c r="A76" s="0" t="str">
        <f aca="false">TRIM(Október!A7)</f>
        <v>Vállalkozói bevétel</v>
      </c>
      <c r="B76" s="0" t="str">
        <f aca="false">IF(A76="","",IF(COUNTIF(A$2:A76,A76)=1,MAX(B$1:B75)+1,""))</f>
        <v/>
      </c>
      <c r="D76" s="0" t="str">
        <f aca="false">TRIM(Augusztus!A22)</f>
        <v>Hosszú távú (min. 10 éves, lakás célú)</v>
      </c>
      <c r="E76" s="0" t="str">
        <f aca="false">IF(D76="","",IF(COUNTIF(D$2:D76,D76)=1,MAX(E$1:E75)+1,""))</f>
        <v/>
      </c>
      <c r="G76" s="0" t="str">
        <f aca="false">TRIM(Február!A41)</f>
        <v/>
      </c>
      <c r="H76" s="0" t="str">
        <f aca="false">IF(G76="","",IF(COUNTIF(G$2:G76,G76)=1,MAX(H$1:H75)+1,""))</f>
        <v/>
      </c>
    </row>
    <row r="77" customFormat="false" ht="15" hidden="false" customHeight="false" outlineLevel="0" collapsed="false">
      <c r="A77" s="0" t="str">
        <f aca="false">TRIM(Október!A8)</f>
        <v/>
      </c>
      <c r="B77" s="0" t="str">
        <f aca="false">IF(A77="","",IF(COUNTIF(A$2:A77,A77)=1,MAX(B$1:B76)+1,""))</f>
        <v/>
      </c>
      <c r="D77" s="0" t="str">
        <f aca="false">TRIM(Augusztus!A23)</f>
        <v>Hosszú távú (min. 10 éves, gyermek jövője célú)</v>
      </c>
      <c r="E77" s="0" t="str">
        <f aca="false">IF(D77="","",IF(COUNTIF(D$2:D77,D77)=1,MAX(E$1:E76)+1,""))</f>
        <v/>
      </c>
      <c r="G77" s="0" t="str">
        <f aca="false">TRIM(Február!A44)</f>
        <v>Lakásbiztosítás</v>
      </c>
      <c r="H77" s="0" t="str">
        <f aca="false">IF(G77="","",IF(COUNTIF(G$2:G77,G77)=1,MAX(H$1:H76)+1,""))</f>
        <v/>
      </c>
    </row>
    <row r="78" customFormat="false" ht="15" hidden="false" customHeight="false" outlineLevel="0" collapsed="false">
      <c r="A78" s="0" t="str">
        <f aca="false">TRIM(Október!A11)</f>
        <v>CSED / GYED / GYES</v>
      </c>
      <c r="B78" s="0" t="str">
        <f aca="false">IF(A78="","",IF(COUNTIF(A$2:A78,A78)=1,MAX(B$1:B77)+1,""))</f>
        <v/>
      </c>
      <c r="D78" s="0" t="str">
        <f aca="false">TRIM(Augusztus!A24)</f>
        <v>Hosszú távú (min. 15 éves, nyugdíj célú)</v>
      </c>
      <c r="E78" s="0" t="str">
        <f aca="false">IF(D78="","",IF(COUNTIF(D$2:D78,D78)=1,MAX(E$1:E77)+1,""))</f>
        <v/>
      </c>
      <c r="G78" s="0" t="str">
        <f aca="false">TRIM(Február!A45)</f>
        <v>Életbiztosítás</v>
      </c>
      <c r="H78" s="0" t="str">
        <f aca="false">IF(G78="","",IF(COUNTIF(G$2:G78,G78)=1,MAX(H$1:H77)+1,""))</f>
        <v/>
      </c>
    </row>
    <row r="79" customFormat="false" ht="15" hidden="false" customHeight="false" outlineLevel="0" collapsed="false">
      <c r="A79" s="0" t="str">
        <f aca="false">TRIM(Október!A12)</f>
        <v>Családi pótlék</v>
      </c>
      <c r="B79" s="0" t="str">
        <f aca="false">IF(A79="","",IF(COUNTIF(A$2:A79,A79)=1,MAX(B$1:B78)+1,""))</f>
        <v/>
      </c>
      <c r="D79" s="0" t="str">
        <f aca="false">TRIM(Augusztus!A25)</f>
        <v>Nyugdíjbiztosítás</v>
      </c>
      <c r="E79" s="0" t="str">
        <f aca="false">IF(D79="","",IF(COUNTIF(D$2:D79,D79)=1,MAX(E$1:E78)+1,""))</f>
        <v/>
      </c>
      <c r="G79" s="0" t="str">
        <f aca="false">TRIM(Február!A46)</f>
        <v>Baleset- és betegségbiztosítás</v>
      </c>
      <c r="H79" s="0" t="str">
        <f aca="false">IF(G79="","",IF(COUNTIF(G$2:G79,G79)=1,MAX(H$1:H78)+1,""))</f>
        <v/>
      </c>
    </row>
    <row r="80" customFormat="false" ht="15" hidden="false" customHeight="false" outlineLevel="0" collapsed="false">
      <c r="A80" s="0" t="str">
        <f aca="false">TRIM(Október!A13)</f>
        <v>Egyéb (lakáskiadás, bónusz stb.)</v>
      </c>
      <c r="B80" s="0" t="str">
        <f aca="false">IF(A80="","",IF(COUNTIF(A$2:A80,A80)=1,MAX(B$1:B79)+1,""))</f>
        <v/>
      </c>
      <c r="D80" s="0" t="str">
        <f aca="false">TRIM(Augusztus!A26)</f>
        <v/>
      </c>
      <c r="E80" s="0" t="str">
        <f aca="false">IF(D80="","",IF(COUNTIF(D$2:D80,D80)=1,MAX(E$1:E79)+1,""))</f>
        <v/>
      </c>
      <c r="G80" s="0" t="str">
        <f aca="false">TRIM(Február!A47)</f>
        <v>Egészségbiztosítás</v>
      </c>
      <c r="H80" s="0" t="str">
        <f aca="false">IF(G80="","",IF(COUNTIF(G$2:G80,G80)=1,MAX(H$1:H79)+1,""))</f>
        <v/>
      </c>
    </row>
    <row r="81" customFormat="false" ht="15" hidden="false" customHeight="false" outlineLevel="0" collapsed="false">
      <c r="A81" s="0" t="str">
        <f aca="false">TRIM(Október!A14)</f>
        <v/>
      </c>
      <c r="B81" s="0" t="str">
        <f aca="false">IF(A81="","",IF(COUNTIF(A$2:A81,A81)=1,MAX(B$1:B80)+1,""))</f>
        <v/>
      </c>
      <c r="D81" s="0" t="str">
        <f aca="false">TRIM(Augusztus!A27)</f>
        <v/>
      </c>
      <c r="E81" s="0" t="str">
        <f aca="false">IF(D81="","",IF(COUNTIF(D$2:D81,D81)=1,MAX(E$1:E80)+1,""))</f>
        <v/>
      </c>
      <c r="G81" s="0" t="str">
        <f aca="false">TRIM(Február!A48)</f>
        <v>Hiteltörlesztés</v>
      </c>
      <c r="H81" s="0" t="str">
        <f aca="false">IF(G81="","",IF(COUNTIF(G$2:G81,G81)=1,MAX(H$1:H80)+1,""))</f>
        <v/>
      </c>
    </row>
    <row r="82" customFormat="false" ht="15" hidden="false" customHeight="false" outlineLevel="0" collapsed="false">
      <c r="A82" s="0" t="str">
        <f aca="false">TRIM(November!A5)</f>
        <v>Munkabér 1 (pl. saját)</v>
      </c>
      <c r="B82" s="0" t="str">
        <f aca="false">IF(A82="","",IF(COUNTIF(A$2:A82,A82)=1,MAX(B$1:B81)+1,""))</f>
        <v/>
      </c>
      <c r="D82" s="0" t="str">
        <f aca="false">TRIM(Szeptember!A18)</f>
        <v>Vésztartalék</v>
      </c>
      <c r="E82" s="0" t="str">
        <f aca="false">IF(D82="","",IF(COUNTIF(D$2:D82,D82)=1,MAX(E$1:E81)+1,""))</f>
        <v/>
      </c>
      <c r="G82" s="0" t="str">
        <f aca="false">TRIM(Február!A49)</f>
        <v>Egyéb szerződés</v>
      </c>
      <c r="H82" s="0" t="str">
        <f aca="false">IF(G82="","",IF(COUNTIF(G$2:G82,G82)=1,MAX(H$1:H81)+1,""))</f>
        <v/>
      </c>
    </row>
    <row r="83" customFormat="false" ht="15" hidden="false" customHeight="false" outlineLevel="0" collapsed="false">
      <c r="A83" s="0" t="str">
        <f aca="false">TRIM(November!A6)</f>
        <v>Munkabér 2 (pl. partner)</v>
      </c>
      <c r="B83" s="0" t="str">
        <f aca="false">IF(A83="","",IF(COUNTIF(A$2:A83,A83)=1,MAX(B$1:B82)+1,""))</f>
        <v/>
      </c>
      <c r="D83" s="0" t="str">
        <f aca="false">TRIM(Szeptember!A19)</f>
        <v>Lakástakarékpénztár</v>
      </c>
      <c r="E83" s="0" t="str">
        <f aca="false">IF(D83="","",IF(COUNTIF(D$2:D83,D83)=1,MAX(E$1:E82)+1,""))</f>
        <v/>
      </c>
      <c r="G83" s="0" t="str">
        <f aca="false">TRIM(Február!A50)</f>
        <v/>
      </c>
      <c r="H83" s="0" t="str">
        <f aca="false">IF(G83="","",IF(COUNTIF(G$2:G83,G83)=1,MAX(H$1:H82)+1,""))</f>
        <v/>
      </c>
    </row>
    <row r="84" customFormat="false" ht="15" hidden="false" customHeight="false" outlineLevel="0" collapsed="false">
      <c r="A84" s="0" t="str">
        <f aca="false">TRIM(November!A7)</f>
        <v>Vállalkozói bevétel</v>
      </c>
      <c r="B84" s="0" t="str">
        <f aca="false">IF(A84="","",IF(COUNTIF(A$2:A84,A84)=1,MAX(B$1:B83)+1,""))</f>
        <v/>
      </c>
      <c r="D84" s="0" t="str">
        <f aca="false">TRIM(Szeptember!A20)</f>
        <v>Általános cél</v>
      </c>
      <c r="E84" s="0" t="str">
        <f aca="false">IF(D84="","",IF(COUNTIF(D$2:D84,D84)=1,MAX(E$1:E83)+1,""))</f>
        <v/>
      </c>
      <c r="G84" s="0" t="str">
        <f aca="false">TRIM(Február!A51)</f>
        <v/>
      </c>
      <c r="H84" s="0" t="str">
        <f aca="false">IF(G84="","",IF(COUNTIF(G$2:G84,G84)=1,MAX(H$1:H83)+1,""))</f>
        <v/>
      </c>
    </row>
    <row r="85" customFormat="false" ht="15" hidden="false" customHeight="false" outlineLevel="0" collapsed="false">
      <c r="A85" s="0" t="str">
        <f aca="false">TRIM(November!A8)</f>
        <v/>
      </c>
      <c r="B85" s="0" t="str">
        <f aca="false">IF(A85="","",IF(COUNTIF(A$2:A85,A85)=1,MAX(B$1:B84)+1,""))</f>
        <v/>
      </c>
      <c r="D85" s="0" t="str">
        <f aca="false">TRIM(Szeptember!A21)</f>
        <v>Hosszú távú (min. 10 éves, általános célú)</v>
      </c>
      <c r="E85" s="0" t="str">
        <f aca="false">IF(D85="","",IF(COUNTIF(D$2:D85,D85)=1,MAX(E$1:E84)+1,""))</f>
        <v/>
      </c>
      <c r="G85" s="0" t="str">
        <f aca="false">TRIM(Február!A54)</f>
        <v>Üzemanyag, elektromos töltés</v>
      </c>
      <c r="H85" s="0" t="str">
        <f aca="false">IF(G85="","",IF(COUNTIF(G$2:G85,G85)=1,MAX(H$1:H84)+1,""))</f>
        <v/>
      </c>
    </row>
    <row r="86" customFormat="false" ht="15" hidden="false" customHeight="false" outlineLevel="0" collapsed="false">
      <c r="A86" s="0" t="str">
        <f aca="false">TRIM(November!A11)</f>
        <v>CSED / GYED / GYES</v>
      </c>
      <c r="B86" s="0" t="str">
        <f aca="false">IF(A86="","",IF(COUNTIF(A$2:A86,A86)=1,MAX(B$1:B85)+1,""))</f>
        <v/>
      </c>
      <c r="D86" s="0" t="str">
        <f aca="false">TRIM(Szeptember!A22)</f>
        <v>Hosszú távú (min. 10 éves, lakás célú)</v>
      </c>
      <c r="E86" s="0" t="str">
        <f aca="false">IF(D86="","",IF(COUNTIF(D$2:D86,D86)=1,MAX(E$1:E85)+1,""))</f>
        <v/>
      </c>
      <c r="G86" s="0" t="str">
        <f aca="false">TRIM(Február!A55)</f>
        <v>Parkolás, útdíj, autópálya-matrica</v>
      </c>
      <c r="H86" s="0" t="str">
        <f aca="false">IF(G86="","",IF(COUNTIF(G$2:G86,G86)=1,MAX(H$1:H85)+1,""))</f>
        <v/>
      </c>
    </row>
    <row r="87" customFormat="false" ht="15" hidden="false" customHeight="false" outlineLevel="0" collapsed="false">
      <c r="A87" s="0" t="str">
        <f aca="false">TRIM(November!A12)</f>
        <v>Családi pótlék</v>
      </c>
      <c r="B87" s="0" t="str">
        <f aca="false">IF(A87="","",IF(COUNTIF(A$2:A87,A87)=1,MAX(B$1:B86)+1,""))</f>
        <v/>
      </c>
      <c r="D87" s="0" t="str">
        <f aca="false">TRIM(Szeptember!A23)</f>
        <v>Hosszú távú (min. 10 éves, gyermek jövője célú)</v>
      </c>
      <c r="E87" s="0" t="str">
        <f aca="false">IF(D87="","",IF(COUNTIF(D$2:D87,D87)=1,MAX(E$1:E86)+1,""))</f>
        <v/>
      </c>
      <c r="G87" s="0" t="str">
        <f aca="false">TRIM(Február!A56)</f>
        <v>Szerviz, karbantartás, gumicsere</v>
      </c>
      <c r="H87" s="0" t="str">
        <f aca="false">IF(G87="","",IF(COUNTIF(G$2:G87,G87)=1,MAX(H$1:H86)+1,""))</f>
        <v/>
      </c>
    </row>
    <row r="88" customFormat="false" ht="15" hidden="false" customHeight="false" outlineLevel="0" collapsed="false">
      <c r="A88" s="0" t="str">
        <f aca="false">TRIM(November!A13)</f>
        <v>Egyéb (lakáskiadás, bónusz stb.)</v>
      </c>
      <c r="B88" s="0" t="str">
        <f aca="false">IF(A88="","",IF(COUNTIF(A$2:A88,A88)=1,MAX(B$1:B87)+1,""))</f>
        <v/>
      </c>
      <c r="D88" s="0" t="str">
        <f aca="false">TRIM(Szeptember!A24)</f>
        <v>Hosszú távú (min. 15 éves, nyugdíj célú)</v>
      </c>
      <c r="E88" s="0" t="str">
        <f aca="false">IF(D88="","",IF(COUNTIF(D$2:D88,D88)=1,MAX(E$1:E87)+1,""))</f>
        <v/>
      </c>
      <c r="G88" s="0" t="str">
        <f aca="false">TRIM(Február!A57)</f>
        <v>KGFB (kötelező biztosítás)</v>
      </c>
      <c r="H88" s="0" t="str">
        <f aca="false">IF(G88="","",IF(COUNTIF(G$2:G88,G88)=1,MAX(H$1:H87)+1,""))</f>
        <v/>
      </c>
    </row>
    <row r="89" customFormat="false" ht="15" hidden="false" customHeight="false" outlineLevel="0" collapsed="false">
      <c r="A89" s="0" t="str">
        <f aca="false">TRIM(November!A14)</f>
        <v/>
      </c>
      <c r="B89" s="0" t="str">
        <f aca="false">IF(A89="","",IF(COUNTIF(A$2:A89,A89)=1,MAX(B$1:B88)+1,""))</f>
        <v/>
      </c>
      <c r="D89" s="0" t="str">
        <f aca="false">TRIM(Szeptember!A25)</f>
        <v>Nyugdíjbiztosítás</v>
      </c>
      <c r="E89" s="0" t="str">
        <f aca="false">IF(D89="","",IF(COUNTIF(D$2:D89,D89)=1,MAX(E$1:E88)+1,""))</f>
        <v/>
      </c>
      <c r="G89" s="0" t="str">
        <f aca="false">TRIM(Február!A58)</f>
        <v>CASCO</v>
      </c>
      <c r="H89" s="0" t="str">
        <f aca="false">IF(G89="","",IF(COUNTIF(G$2:G89,G89)=1,MAX(H$1:H88)+1,""))</f>
        <v/>
      </c>
    </row>
    <row r="90" customFormat="false" ht="15" hidden="false" customHeight="false" outlineLevel="0" collapsed="false">
      <c r="A90" s="0" t="str">
        <f aca="false">TRIM(December!A5)</f>
        <v>Munkabér 1 (pl. saját)</v>
      </c>
      <c r="B90" s="0" t="str">
        <f aca="false">IF(A90="","",IF(COUNTIF(A$2:A90,A90)=1,MAX(B$1:B89)+1,""))</f>
        <v/>
      </c>
      <c r="D90" s="0" t="str">
        <f aca="false">TRIM(Szeptember!A26)</f>
        <v/>
      </c>
      <c r="E90" s="0" t="str">
        <f aca="false">IF(D90="","",IF(COUNTIF(D$2:D90,D90)=1,MAX(E$1:E89)+1,""))</f>
        <v/>
      </c>
      <c r="G90" s="0" t="str">
        <f aca="false">TRIM(Február!A59)</f>
        <v>Gépjárműadó</v>
      </c>
      <c r="H90" s="0" t="str">
        <f aca="false">IF(G90="","",IF(COUNTIF(G$2:G90,G90)=1,MAX(H$1:H89)+1,""))</f>
        <v/>
      </c>
    </row>
    <row r="91" customFormat="false" ht="15" hidden="false" customHeight="false" outlineLevel="0" collapsed="false">
      <c r="A91" s="0" t="str">
        <f aca="false">TRIM(December!A6)</f>
        <v>Munkabér 2 (pl. partner)</v>
      </c>
      <c r="B91" s="0" t="str">
        <f aca="false">IF(A91="","",IF(COUNTIF(A$2:A91,A91)=1,MAX(B$1:B90)+1,""))</f>
        <v/>
      </c>
      <c r="D91" s="0" t="str">
        <f aca="false">TRIM(Szeptember!A27)</f>
        <v/>
      </c>
      <c r="E91" s="0" t="str">
        <f aca="false">IF(D91="","",IF(COUNTIF(D$2:D91,D91)=1,MAX(E$1:E90)+1,""))</f>
        <v/>
      </c>
      <c r="G91" s="0" t="str">
        <f aca="false">TRIM(Február!A60)</f>
        <v>Autóhitel, lízing részlet</v>
      </c>
      <c r="H91" s="0" t="str">
        <f aca="false">IF(G91="","",IF(COUNTIF(G$2:G91,G91)=1,MAX(H$1:H90)+1,""))</f>
        <v/>
      </c>
    </row>
    <row r="92" customFormat="false" ht="15" hidden="false" customHeight="false" outlineLevel="0" collapsed="false">
      <c r="A92" s="0" t="str">
        <f aca="false">TRIM(December!A7)</f>
        <v>Vállalkozói bevétel</v>
      </c>
      <c r="B92" s="0" t="str">
        <f aca="false">IF(A92="","",IF(COUNTIF(A$2:A92,A92)=1,MAX(B$1:B91)+1,""))</f>
        <v/>
      </c>
      <c r="D92" s="0" t="str">
        <f aca="false">TRIM(Október!A18)</f>
        <v>Vésztartalék</v>
      </c>
      <c r="E92" s="0" t="str">
        <f aca="false">IF(D92="","",IF(COUNTIF(D$2:D92,D92)=1,MAX(E$1:E91)+1,""))</f>
        <v/>
      </c>
      <c r="G92" s="0" t="str">
        <f aca="false">TRIM(Február!A61)</f>
        <v>Autómosás, egyéb autós költség</v>
      </c>
      <c r="H92" s="0" t="str">
        <f aca="false">IF(G92="","",IF(COUNTIF(G$2:G92,G92)=1,MAX(H$1:H91)+1,""))</f>
        <v/>
      </c>
    </row>
    <row r="93" customFormat="false" ht="15" hidden="false" customHeight="false" outlineLevel="0" collapsed="false">
      <c r="A93" s="0" t="str">
        <f aca="false">TRIM(December!A8)</f>
        <v/>
      </c>
      <c r="B93" s="0" t="str">
        <f aca="false">IF(A93="","",IF(COUNTIF(A$2:A93,A93)=1,MAX(B$1:B92)+1,""))</f>
        <v/>
      </c>
      <c r="D93" s="0" t="str">
        <f aca="false">TRIM(Október!A19)</f>
        <v>Lakástakarékpénztár</v>
      </c>
      <c r="E93" s="0" t="str">
        <f aca="false">IF(D93="","",IF(COUNTIF(D$2:D93,D93)=1,MAX(E$1:E92)+1,""))</f>
        <v/>
      </c>
      <c r="G93" s="0" t="str">
        <f aca="false">TRIM(Február!A62)</f>
        <v>Tömegközlekedés, bérlet</v>
      </c>
      <c r="H93" s="0" t="str">
        <f aca="false">IF(G93="","",IF(COUNTIF(G$2:G93,G93)=1,MAX(H$1:H92)+1,""))</f>
        <v/>
      </c>
    </row>
    <row r="94" customFormat="false" ht="15" hidden="false" customHeight="false" outlineLevel="0" collapsed="false">
      <c r="A94" s="0" t="str">
        <f aca="false">TRIM(December!A11)</f>
        <v>CSED / GYED / GYES</v>
      </c>
      <c r="B94" s="0" t="str">
        <f aca="false">IF(A94="","",IF(COUNTIF(A$2:A94,A94)=1,MAX(B$1:B93)+1,""))</f>
        <v/>
      </c>
      <c r="D94" s="0" t="str">
        <f aca="false">TRIM(Október!A20)</f>
        <v>Általános cél</v>
      </c>
      <c r="E94" s="0" t="str">
        <f aca="false">IF(D94="","",IF(COUNTIF(D$2:D94,D94)=1,MAX(E$1:E93)+1,""))</f>
        <v/>
      </c>
      <c r="G94" s="0" t="str">
        <f aca="false">TRIM(Február!A63)</f>
        <v>Taxi, roller, bicikli, közösségi közlekedés</v>
      </c>
      <c r="H94" s="0" t="str">
        <f aca="false">IF(G94="","",IF(COUNTIF(G$2:G94,G94)=1,MAX(H$1:H93)+1,""))</f>
        <v/>
      </c>
    </row>
    <row r="95" customFormat="false" ht="15" hidden="false" customHeight="false" outlineLevel="0" collapsed="false">
      <c r="A95" s="0" t="str">
        <f aca="false">TRIM(December!A12)</f>
        <v>Családi pótlék</v>
      </c>
      <c r="B95" s="0" t="str">
        <f aca="false">IF(A95="","",IF(COUNTIF(A$2:A95,A95)=1,MAX(B$1:B94)+1,""))</f>
        <v/>
      </c>
      <c r="D95" s="0" t="str">
        <f aca="false">TRIM(Október!A21)</f>
        <v>Hosszú távú (min. 10 éves, általános célú)</v>
      </c>
      <c r="E95" s="0" t="str">
        <f aca="false">IF(D95="","",IF(COUNTIF(D$2:D95,D95)=1,MAX(E$1:E94)+1,""))</f>
        <v/>
      </c>
      <c r="G95" s="0" t="str">
        <f aca="false">TRIM(Február!A64)</f>
        <v/>
      </c>
      <c r="H95" s="0" t="str">
        <f aca="false">IF(G95="","",IF(COUNTIF(G$2:G95,G95)=1,MAX(H$1:H94)+1,""))</f>
        <v/>
      </c>
    </row>
    <row r="96" customFormat="false" ht="15" hidden="false" customHeight="false" outlineLevel="0" collapsed="false">
      <c r="A96" s="0" t="str">
        <f aca="false">TRIM(December!A13)</f>
        <v>Egyéb (lakáskiadás, bónusz stb.)</v>
      </c>
      <c r="B96" s="0" t="str">
        <f aca="false">IF(A96="","",IF(COUNTIF(A$2:A96,A96)=1,MAX(B$1:B95)+1,""))</f>
        <v/>
      </c>
      <c r="D96" s="0" t="str">
        <f aca="false">TRIM(Október!A22)</f>
        <v>Hosszú távú (min. 10 éves, lakás célú)</v>
      </c>
      <c r="E96" s="0" t="str">
        <f aca="false">IF(D96="","",IF(COUNTIF(D$2:D96,D96)=1,MAX(E$1:E95)+1,""))</f>
        <v/>
      </c>
      <c r="G96" s="0" t="str">
        <f aca="false">TRIM(Február!A65)</f>
        <v/>
      </c>
      <c r="H96" s="0" t="str">
        <f aca="false">IF(G96="","",IF(COUNTIF(G$2:G96,G96)=1,MAX(H$1:H95)+1,""))</f>
        <v/>
      </c>
    </row>
    <row r="97" customFormat="false" ht="15" hidden="false" customHeight="false" outlineLevel="0" collapsed="false">
      <c r="A97" s="0" t="str">
        <f aca="false">TRIM(December!A14)</f>
        <v/>
      </c>
      <c r="B97" s="0" t="str">
        <f aca="false">IF(A97="","",IF(COUNTIF(A$2:A97,A97)=1,MAX(B$1:B96)+1,""))</f>
        <v/>
      </c>
      <c r="D97" s="0" t="str">
        <f aca="false">TRIM(Október!A23)</f>
        <v>Hosszú távú (min. 10 éves, gyermek jövője célú)</v>
      </c>
      <c r="E97" s="0" t="str">
        <f aca="false">IF(D97="","",IF(COUNTIF(D$2:D97,D97)=1,MAX(E$1:E96)+1,""))</f>
        <v/>
      </c>
      <c r="G97" s="0" t="str">
        <f aca="false">TRIM(Február!A68)</f>
        <v>Gyerek ruha, cipő</v>
      </c>
      <c r="H97" s="0" t="str">
        <f aca="false">IF(G97="","",IF(COUNTIF(G$2:G97,G97)=1,MAX(H$1:H96)+1,""))</f>
        <v/>
      </c>
    </row>
    <row r="98" customFormat="false" ht="15" hidden="false" customHeight="false" outlineLevel="0" collapsed="false">
      <c r="D98" s="0" t="str">
        <f aca="false">TRIM(Október!A24)</f>
        <v>Hosszú távú (min. 15 éves, nyugdíj célú)</v>
      </c>
      <c r="E98" s="0" t="str">
        <f aca="false">IF(D98="","",IF(COUNTIF(D$2:D98,D98)=1,MAX(E$1:E97)+1,""))</f>
        <v/>
      </c>
      <c r="G98" s="0" t="str">
        <f aca="false">TRIM(Február!A69)</f>
        <v>Gyerek étkeztetés (menza)</v>
      </c>
      <c r="H98" s="0" t="str">
        <f aca="false">IF(G98="","",IF(COUNTIF(G$2:G98,G98)=1,MAX(H$1:H97)+1,""))</f>
        <v/>
      </c>
    </row>
    <row r="99" customFormat="false" ht="15" hidden="false" customHeight="false" outlineLevel="0" collapsed="false">
      <c r="D99" s="0" t="str">
        <f aca="false">TRIM(Október!A25)</f>
        <v>Nyugdíjbiztosítás</v>
      </c>
      <c r="E99" s="0" t="str">
        <f aca="false">IF(D99="","",IF(COUNTIF(D$2:D99,D99)=1,MAX(E$1:E98)+1,""))</f>
        <v/>
      </c>
      <c r="G99" s="0" t="str">
        <f aca="false">TRIM(Február!A70)</f>
        <v>Bölcsőde, óvoda, iskola díjai</v>
      </c>
      <c r="H99" s="0" t="str">
        <f aca="false">IF(G99="","",IF(COUNTIF(G$2:G99,G99)=1,MAX(H$1:H98)+1,""))</f>
        <v/>
      </c>
    </row>
    <row r="100" customFormat="false" ht="15" hidden="false" customHeight="false" outlineLevel="0" collapsed="false">
      <c r="D100" s="0" t="str">
        <f aca="false">TRIM(Október!A26)</f>
        <v/>
      </c>
      <c r="E100" s="0" t="str">
        <f aca="false">IF(D100="","",IF(COUNTIF(D$2:D100,D100)=1,MAX(E$1:E99)+1,""))</f>
        <v/>
      </c>
      <c r="G100" s="0" t="str">
        <f aca="false">TRIM(Február!A71)</f>
        <v>Tankönyv, tanszer</v>
      </c>
      <c r="H100" s="0" t="str">
        <f aca="false">IF(G100="","",IF(COUNTIF(G$2:G100,G100)=1,MAX(H$1:H99)+1,""))</f>
        <v/>
      </c>
    </row>
    <row r="101" customFormat="false" ht="15" hidden="false" customHeight="false" outlineLevel="0" collapsed="false">
      <c r="D101" s="0" t="str">
        <f aca="false">TRIM(Október!A27)</f>
        <v/>
      </c>
      <c r="E101" s="0" t="str">
        <f aca="false">IF(D101="","",IF(COUNTIF(D$2:D101,D101)=1,MAX(E$1:E100)+1,""))</f>
        <v/>
      </c>
      <c r="G101" s="0" t="str">
        <f aca="false">TRIM(Február!A72)</f>
        <v>Különórák, edzések</v>
      </c>
      <c r="H101" s="0" t="str">
        <f aca="false">IF(G101="","",IF(COUNTIF(G$2:G101,G101)=1,MAX(H$1:H100)+1,""))</f>
        <v/>
      </c>
    </row>
    <row r="102" customFormat="false" ht="15" hidden="false" customHeight="false" outlineLevel="0" collapsed="false">
      <c r="D102" s="0" t="str">
        <f aca="false">TRIM(November!A18)</f>
        <v>Vésztartalék</v>
      </c>
      <c r="E102" s="0" t="str">
        <f aca="false">IF(D102="","",IF(COUNTIF(D$2:D102,D102)=1,MAX(E$1:E101)+1,""))</f>
        <v/>
      </c>
      <c r="G102" s="0" t="str">
        <f aca="false">TRIM(Február!A73)</f>
        <v>Magánóra, korrepetálás</v>
      </c>
      <c r="H102" s="0" t="str">
        <f aca="false">IF(G102="","",IF(COUNTIF(G$2:G102,G102)=1,MAX(H$1:H101)+1,""))</f>
        <v/>
      </c>
    </row>
    <row r="103" customFormat="false" ht="15" hidden="false" customHeight="false" outlineLevel="0" collapsed="false">
      <c r="D103" s="0" t="str">
        <f aca="false">TRIM(November!A19)</f>
        <v>Lakástakarékpénztár</v>
      </c>
      <c r="E103" s="0" t="str">
        <f aca="false">IF(D103="","",IF(COUNTIF(D$2:D103,D103)=1,MAX(E$1:E102)+1,""))</f>
        <v/>
      </c>
      <c r="G103" s="0" t="str">
        <f aca="false">TRIM(Február!A74)</f>
        <v>Zsebpénz</v>
      </c>
      <c r="H103" s="0" t="str">
        <f aca="false">IF(G103="","",IF(COUNTIF(G$2:G103,G103)=1,MAX(H$1:H102)+1,""))</f>
        <v/>
      </c>
    </row>
    <row r="104" customFormat="false" ht="15" hidden="false" customHeight="false" outlineLevel="0" collapsed="false">
      <c r="D104" s="0" t="str">
        <f aca="false">TRIM(November!A20)</f>
        <v>Általános cél</v>
      </c>
      <c r="E104" s="0" t="str">
        <f aca="false">IF(D104="","",IF(COUNTIF(D$2:D104,D104)=1,MAX(E$1:E103)+1,""))</f>
        <v/>
      </c>
      <c r="G104" s="0" t="str">
        <f aca="false">TRIM(Február!A75)</f>
        <v>Játékok, szórakozás</v>
      </c>
      <c r="H104" s="0" t="str">
        <f aca="false">IF(G104="","",IF(COUNTIF(G$2:G104,G104)=1,MAX(H$1:H103)+1,""))</f>
        <v/>
      </c>
    </row>
    <row r="105" customFormat="false" ht="15" hidden="false" customHeight="false" outlineLevel="0" collapsed="false">
      <c r="D105" s="0" t="str">
        <f aca="false">TRIM(November!A21)</f>
        <v>Hosszú távú (min. 10 éves, általános célú)</v>
      </c>
      <c r="E105" s="0" t="str">
        <f aca="false">IF(D105="","",IF(COUNTIF(D$2:D105,D105)=1,MAX(E$1:E104)+1,""))</f>
        <v/>
      </c>
      <c r="G105" s="0" t="str">
        <f aca="false">TRIM(Február!A76)</f>
        <v/>
      </c>
      <c r="H105" s="0" t="str">
        <f aca="false">IF(G105="","",IF(COUNTIF(G$2:G105,G105)=1,MAX(H$1:H104)+1,""))</f>
        <v/>
      </c>
    </row>
    <row r="106" customFormat="false" ht="15" hidden="false" customHeight="false" outlineLevel="0" collapsed="false">
      <c r="D106" s="0" t="str">
        <f aca="false">TRIM(November!A22)</f>
        <v>Hosszú távú (min. 10 éves, lakás célú)</v>
      </c>
      <c r="E106" s="0" t="str">
        <f aca="false">IF(D106="","",IF(COUNTIF(D$2:D106,D106)=1,MAX(E$1:E105)+1,""))</f>
        <v/>
      </c>
      <c r="G106" s="0" t="str">
        <f aca="false">TRIM(Február!A77)</f>
        <v/>
      </c>
      <c r="H106" s="0" t="str">
        <f aca="false">IF(G106="","",IF(COUNTIF(G$2:G106,G106)=1,MAX(H$1:H105)+1,""))</f>
        <v/>
      </c>
    </row>
    <row r="107" customFormat="false" ht="15" hidden="false" customHeight="false" outlineLevel="0" collapsed="false">
      <c r="D107" s="0" t="str">
        <f aca="false">TRIM(November!A23)</f>
        <v>Hosszú távú (min. 10 éves, gyermek jövője célú)</v>
      </c>
      <c r="E107" s="0" t="str">
        <f aca="false">IF(D107="","",IF(COUNTIF(D$2:D107,D107)=1,MAX(E$1:E106)+1,""))</f>
        <v/>
      </c>
      <c r="G107" s="0" t="str">
        <f aca="false">TRIM(Február!A78)</f>
        <v/>
      </c>
      <c r="H107" s="0" t="str">
        <f aca="false">IF(G107="","",IF(COUNTIF(G$2:G107,G107)=1,MAX(H$1:H106)+1,""))</f>
        <v/>
      </c>
    </row>
    <row r="108" customFormat="false" ht="15" hidden="false" customHeight="false" outlineLevel="0" collapsed="false">
      <c r="D108" s="0" t="str">
        <f aca="false">TRIM(November!A24)</f>
        <v>Hosszú távú (min. 15 éves, nyugdíj célú)</v>
      </c>
      <c r="E108" s="0" t="str">
        <f aca="false">IF(D108="","",IF(COUNTIF(D$2:D108,D108)=1,MAX(E$1:E107)+1,""))</f>
        <v/>
      </c>
      <c r="G108" s="0" t="str">
        <f aca="false">TRIM(Február!A81)</f>
        <v>Ruha</v>
      </c>
      <c r="H108" s="0" t="str">
        <f aca="false">IF(G108="","",IF(COUNTIF(G$2:G108,G108)=1,MAX(H$1:H107)+1,""))</f>
        <v/>
      </c>
    </row>
    <row r="109" customFormat="false" ht="15" hidden="false" customHeight="false" outlineLevel="0" collapsed="false">
      <c r="D109" s="0" t="str">
        <f aca="false">TRIM(November!A25)</f>
        <v>Nyugdíjbiztosítás</v>
      </c>
      <c r="E109" s="0" t="str">
        <f aca="false">IF(D109="","",IF(COUNTIF(D$2:D109,D109)=1,MAX(E$1:E108)+1,""))</f>
        <v/>
      </c>
      <c r="G109" s="0" t="str">
        <f aca="false">TRIM(Február!A82)</f>
        <v>Cipő</v>
      </c>
      <c r="H109" s="0" t="str">
        <f aca="false">IF(G109="","",IF(COUNTIF(G$2:G109,G109)=1,MAX(H$1:H108)+1,""))</f>
        <v/>
      </c>
    </row>
    <row r="110" customFormat="false" ht="15" hidden="false" customHeight="false" outlineLevel="0" collapsed="false">
      <c r="D110" s="0" t="str">
        <f aca="false">TRIM(November!A26)</f>
        <v/>
      </c>
      <c r="E110" s="0" t="str">
        <f aca="false">IF(D110="","",IF(COUNTIF(D$2:D110,D110)=1,MAX(E$1:E109)+1,""))</f>
        <v/>
      </c>
      <c r="G110" s="0" t="str">
        <f aca="false">TRIM(Február!A83)</f>
        <v>Kiegészítők (táska, ékszer, óra)</v>
      </c>
      <c r="H110" s="0" t="str">
        <f aca="false">IF(G110="","",IF(COUNTIF(G$2:G110,G110)=1,MAX(H$1:H109)+1,""))</f>
        <v/>
      </c>
    </row>
    <row r="111" customFormat="false" ht="15" hidden="false" customHeight="false" outlineLevel="0" collapsed="false">
      <c r="D111" s="0" t="str">
        <f aca="false">TRIM(November!A27)</f>
        <v/>
      </c>
      <c r="E111" s="0" t="str">
        <f aca="false">IF(D111="","",IF(COUNTIF(D$2:D111,D111)=1,MAX(E$1:E110)+1,""))</f>
        <v/>
      </c>
      <c r="G111" s="0" t="str">
        <f aca="false">TRIM(Február!A84)</f>
        <v/>
      </c>
      <c r="H111" s="0" t="str">
        <f aca="false">IF(G111="","",IF(COUNTIF(G$2:G111,G111)=1,MAX(H$1:H110)+1,""))</f>
        <v/>
      </c>
    </row>
    <row r="112" customFormat="false" ht="15" hidden="false" customHeight="false" outlineLevel="0" collapsed="false">
      <c r="D112" s="0" t="str">
        <f aca="false">TRIM(December!A18)</f>
        <v>Vésztartalék</v>
      </c>
      <c r="E112" s="0" t="str">
        <f aca="false">IF(D112="","",IF(COUNTIF(D$2:D112,D112)=1,MAX(E$1:E111)+1,""))</f>
        <v/>
      </c>
      <c r="G112" s="0" t="str">
        <f aca="false">TRIM(Február!A87)</f>
        <v>Fodrász, borbély</v>
      </c>
      <c r="H112" s="0" t="str">
        <f aca="false">IF(G112="","",IF(COUNTIF(G$2:G112,G112)=1,MAX(H$1:H111)+1,""))</f>
        <v/>
      </c>
    </row>
    <row r="113" customFormat="false" ht="15" hidden="false" customHeight="false" outlineLevel="0" collapsed="false">
      <c r="D113" s="0" t="str">
        <f aca="false">TRIM(December!A19)</f>
        <v>Lakástakarékpénztár</v>
      </c>
      <c r="E113" s="0" t="str">
        <f aca="false">IF(D113="","",IF(COUNTIF(D$2:D113,D113)=1,MAX(E$1:E112)+1,""))</f>
        <v/>
      </c>
      <c r="G113" s="0" t="str">
        <f aca="false">TRIM(Február!A88)</f>
        <v>Kozmetikus, manikűr, pedikűr</v>
      </c>
      <c r="H113" s="0" t="str">
        <f aca="false">IF(G113="","",IF(COUNTIF(G$2:G113,G113)=1,MAX(H$1:H112)+1,""))</f>
        <v/>
      </c>
    </row>
    <row r="114" customFormat="false" ht="15" hidden="false" customHeight="false" outlineLevel="0" collapsed="false">
      <c r="D114" s="0" t="str">
        <f aca="false">TRIM(December!A20)</f>
        <v>Általános cél</v>
      </c>
      <c r="E114" s="0" t="str">
        <f aca="false">IF(D114="","",IF(COUNTIF(D$2:D114,D114)=1,MAX(E$1:E113)+1,""))</f>
        <v/>
      </c>
      <c r="G114" s="0" t="str">
        <f aca="false">TRIM(Február!A89)</f>
        <v>Kozmetikumok, parfüm</v>
      </c>
      <c r="H114" s="0" t="str">
        <f aca="false">IF(G114="","",IF(COUNTIF(G$2:G114,G114)=1,MAX(H$1:H113)+1,""))</f>
        <v/>
      </c>
    </row>
    <row r="115" customFormat="false" ht="15" hidden="false" customHeight="false" outlineLevel="0" collapsed="false">
      <c r="D115" s="0" t="str">
        <f aca="false">TRIM(December!A21)</f>
        <v>Hosszú távú (min. 10 éves, általános célú)</v>
      </c>
      <c r="E115" s="0" t="str">
        <f aca="false">IF(D115="","",IF(COUNTIF(D$2:D115,D115)=1,MAX(E$1:E114)+1,""))</f>
        <v/>
      </c>
      <c r="G115" s="0" t="str">
        <f aca="false">TRIM(Február!A90)</f>
        <v>Edzés, sport, bérlet</v>
      </c>
      <c r="H115" s="0" t="str">
        <f aca="false">IF(G115="","",IF(COUNTIF(G$2:G115,G115)=1,MAX(H$1:H114)+1,""))</f>
        <v/>
      </c>
    </row>
    <row r="116" customFormat="false" ht="15" hidden="false" customHeight="false" outlineLevel="0" collapsed="false">
      <c r="D116" s="0" t="str">
        <f aca="false">TRIM(December!A22)</f>
        <v>Hosszú távú (min. 10 éves, lakás célú)</v>
      </c>
      <c r="E116" s="0" t="str">
        <f aca="false">IF(D116="","",IF(COUNTIF(D$2:D116,D116)=1,MAX(E$1:E115)+1,""))</f>
        <v/>
      </c>
      <c r="G116" s="0" t="str">
        <f aca="false">TRIM(Február!A91)</f>
        <v>Gyógyszer, vitamin</v>
      </c>
      <c r="H116" s="0" t="str">
        <f aca="false">IF(G116="","",IF(COUNTIF(G$2:G116,G116)=1,MAX(H$1:H115)+1,""))</f>
        <v/>
      </c>
    </row>
    <row r="117" customFormat="false" ht="15" hidden="false" customHeight="false" outlineLevel="0" collapsed="false">
      <c r="D117" s="0" t="str">
        <f aca="false">TRIM(December!A23)</f>
        <v>Hosszú távú (min. 10 éves, gyermek jövője célú)</v>
      </c>
      <c r="E117" s="0" t="str">
        <f aca="false">IF(D117="","",IF(COUNTIF(D$2:D117,D117)=1,MAX(E$1:E116)+1,""))</f>
        <v/>
      </c>
      <c r="G117" s="0" t="str">
        <f aca="false">TRIM(Február!A92)</f>
        <v>Orvos, fogorvos, magánrendelés</v>
      </c>
      <c r="H117" s="0" t="str">
        <f aca="false">IF(G117="","",IF(COUNTIF(G$2:G117,G117)=1,MAX(H$1:H116)+1,""))</f>
        <v/>
      </c>
    </row>
    <row r="118" customFormat="false" ht="15" hidden="false" customHeight="false" outlineLevel="0" collapsed="false">
      <c r="D118" s="0" t="str">
        <f aca="false">TRIM(December!A24)</f>
        <v>Hosszú távú (min. 15 éves, nyugdíj célú)</v>
      </c>
      <c r="E118" s="0" t="str">
        <f aca="false">IF(D118="","",IF(COUNTIF(D$2:D118,D118)=1,MAX(E$1:E117)+1,""))</f>
        <v/>
      </c>
      <c r="G118" s="0" t="str">
        <f aca="false">TRIM(Február!A93)</f>
        <v/>
      </c>
      <c r="H118" s="0" t="str">
        <f aca="false">IF(G118="","",IF(COUNTIF(G$2:G118,G118)=1,MAX(H$1:H117)+1,""))</f>
        <v/>
      </c>
    </row>
    <row r="119" customFormat="false" ht="15" hidden="false" customHeight="false" outlineLevel="0" collapsed="false">
      <c r="D119" s="0" t="str">
        <f aca="false">TRIM(December!A25)</f>
        <v>Nyugdíjbiztosítás</v>
      </c>
      <c r="E119" s="0" t="str">
        <f aca="false">IF(D119="","",IF(COUNTIF(D$2:D119,D119)=1,MAX(E$1:E118)+1,""))</f>
        <v/>
      </c>
      <c r="G119" s="0" t="str">
        <f aca="false">TRIM(Február!A96)</f>
        <v>Cigaretta, dohány</v>
      </c>
      <c r="H119" s="0" t="str">
        <f aca="false">IF(G119="","",IF(COUNTIF(G$2:G119,G119)=1,MAX(H$1:H118)+1,""))</f>
        <v/>
      </c>
    </row>
    <row r="120" customFormat="false" ht="15" hidden="false" customHeight="false" outlineLevel="0" collapsed="false">
      <c r="D120" s="0" t="str">
        <f aca="false">TRIM(December!A26)</f>
        <v/>
      </c>
      <c r="E120" s="0" t="str">
        <f aca="false">IF(D120="","",IF(COUNTIF(D$2:D120,D120)=1,MAX(E$1:E119)+1,""))</f>
        <v/>
      </c>
      <c r="G120" s="0" t="str">
        <f aca="false">TRIM(Február!A97)</f>
        <v>E-cigaretta, hevített dohánytermék</v>
      </c>
      <c r="H120" s="0" t="str">
        <f aca="false">IF(G120="","",IF(COUNTIF(G$2:G120,G120)=1,MAX(H$1:H119)+1,""))</f>
        <v/>
      </c>
    </row>
    <row r="121" customFormat="false" ht="15" hidden="false" customHeight="false" outlineLevel="0" collapsed="false">
      <c r="D121" s="0" t="str">
        <f aca="false">TRIM(December!A27)</f>
        <v/>
      </c>
      <c r="E121" s="0" t="str">
        <f aca="false">IF(D121="","",IF(COUNTIF(D$2:D121,D121)=1,MAX(E$1:E120)+1,""))</f>
        <v/>
      </c>
      <c r="G121" s="0" t="str">
        <f aca="false">TRIM(Február!A98)</f>
        <v/>
      </c>
      <c r="H121" s="0" t="str">
        <f aca="false">IF(G121="","",IF(COUNTIF(G$2:G121,G121)=1,MAX(H$1:H120)+1,""))</f>
        <v/>
      </c>
    </row>
    <row r="122" customFormat="false" ht="15" hidden="false" customHeight="false" outlineLevel="0" collapsed="false">
      <c r="G122" s="0" t="str">
        <f aca="false">TRIM(Február!A101)</f>
        <v>Állateledel, jutalomfalat</v>
      </c>
      <c r="H122" s="0" t="str">
        <f aca="false">IF(G122="","",IF(COUNTIF(G$2:G122,G122)=1,MAX(H$1:H121)+1,""))</f>
        <v/>
      </c>
    </row>
    <row r="123" customFormat="false" ht="15" hidden="false" customHeight="false" outlineLevel="0" collapsed="false">
      <c r="G123" s="0" t="str">
        <f aca="false">TRIM(Február!A102)</f>
        <v>Állatorvos, oltások, gyógyszer</v>
      </c>
      <c r="H123" s="0" t="str">
        <f aca="false">IF(G123="","",IF(COUNTIF(G$2:G123,G123)=1,MAX(H$1:H122)+1,""))</f>
        <v/>
      </c>
    </row>
    <row r="124" customFormat="false" ht="15" hidden="false" customHeight="false" outlineLevel="0" collapsed="false">
      <c r="G124" s="0" t="str">
        <f aca="false">TRIM(Február!A103)</f>
        <v>Felszerelés, alom, játékok</v>
      </c>
      <c r="H124" s="0" t="str">
        <f aca="false">IF(G124="","",IF(COUNTIF(G$2:G124,G124)=1,MAX(H$1:H123)+1,""))</f>
        <v/>
      </c>
    </row>
    <row r="125" customFormat="false" ht="15" hidden="false" customHeight="false" outlineLevel="0" collapsed="false">
      <c r="G125" s="0" t="str">
        <f aca="false">TRIM(Február!A104)</f>
        <v>Kisállat-kozmetika, panzió, kutyaiskola</v>
      </c>
      <c r="H125" s="0" t="str">
        <f aca="false">IF(G125="","",IF(COUNTIF(G$2:G125,G125)=1,MAX(H$1:H124)+1,""))</f>
        <v/>
      </c>
    </row>
    <row r="126" customFormat="false" ht="15" hidden="false" customHeight="false" outlineLevel="0" collapsed="false">
      <c r="G126" s="0" t="str">
        <f aca="false">TRIM(Február!A105)</f>
        <v/>
      </c>
      <c r="H126" s="0" t="str">
        <f aca="false">IF(G126="","",IF(COUNTIF(G$2:G126,G126)=1,MAX(H$1:H125)+1,""))</f>
        <v/>
      </c>
    </row>
    <row r="127" customFormat="false" ht="15" hidden="false" customHeight="false" outlineLevel="0" collapsed="false">
      <c r="G127" s="0" t="str">
        <f aca="false">TRIM(Február!A108)</f>
        <v>Hobbi</v>
      </c>
      <c r="H127" s="0" t="str">
        <f aca="false">IF(G127="","",IF(COUNTIF(G$2:G127,G127)=1,MAX(H$1:H126)+1,""))</f>
        <v/>
      </c>
    </row>
    <row r="128" customFormat="false" ht="15" hidden="false" customHeight="false" outlineLevel="0" collapsed="false">
      <c r="G128" s="0" t="str">
        <f aca="false">TRIM(Február!A109)</f>
        <v>Szórakozás (mozi, színház, koncert, étterem)</v>
      </c>
      <c r="H128" s="0" t="str">
        <f aca="false">IF(G128="","",IF(COUNTIF(G$2:G128,G128)=1,MAX(H$1:H127)+1,""))</f>
        <v/>
      </c>
    </row>
    <row r="129" customFormat="false" ht="15" hidden="false" customHeight="false" outlineLevel="0" collapsed="false">
      <c r="G129" s="0" t="str">
        <f aca="false">TRIM(Február!A110)</f>
        <v>Nyaralás, utazás</v>
      </c>
      <c r="H129" s="0" t="str">
        <f aca="false">IF(G129="","",IF(COUNTIF(G$2:G129,G129)=1,MAX(H$1:H128)+1,""))</f>
        <v/>
      </c>
    </row>
    <row r="130" customFormat="false" ht="15" hidden="false" customHeight="false" outlineLevel="0" collapsed="false">
      <c r="G130" s="0" t="str">
        <f aca="false">TRIM(Február!A111)</f>
        <v/>
      </c>
      <c r="H130" s="0" t="str">
        <f aca="false">IF(G130="","",IF(COUNTIF(G$2:G130,G130)=1,MAX(H$1:H129)+1,""))</f>
        <v/>
      </c>
    </row>
    <row r="131" customFormat="false" ht="15" hidden="false" customHeight="false" outlineLevel="0" collapsed="false">
      <c r="G131" s="0" t="str">
        <f aca="false">TRIM(Február!A114)</f>
        <v>Ünnepek, ajándékok</v>
      </c>
      <c r="H131" s="0" t="str">
        <f aca="false">IF(G131="","",IF(COUNTIF(G$2:G131,G131)=1,MAX(H$1:H130)+1,""))</f>
        <v/>
      </c>
    </row>
    <row r="132" customFormat="false" ht="15" hidden="false" customHeight="false" outlineLevel="0" collapsed="false">
      <c r="G132" s="0" t="str">
        <f aca="false">TRIM(Február!A115)</f>
        <v>Egyéb kiadás</v>
      </c>
      <c r="H132" s="0" t="str">
        <f aca="false">IF(G132="","",IF(COUNTIF(G$2:G132,G132)=1,MAX(H$1:H131)+1,""))</f>
        <v/>
      </c>
    </row>
    <row r="133" customFormat="false" ht="15" hidden="false" customHeight="false" outlineLevel="0" collapsed="false">
      <c r="G133" s="0" t="str">
        <f aca="false">TRIM(Február!A116)</f>
        <v/>
      </c>
      <c r="H133" s="0" t="str">
        <f aca="false">IF(G133="","",IF(COUNTIF(G$2:G133,G133)=1,MAX(H$1:H132)+1,""))</f>
        <v/>
      </c>
    </row>
    <row r="134" customFormat="false" ht="15" hidden="false" customHeight="false" outlineLevel="0" collapsed="false">
      <c r="G134" s="0" t="str">
        <f aca="false">TRIM(Március!A31)</f>
        <v>Albérleti díj / lakáshitel</v>
      </c>
      <c r="H134" s="0" t="str">
        <f aca="false">IF(G134="","",IF(COUNTIF(G$2:G134,G134)=1,MAX(H$1:H133)+1,""))</f>
        <v/>
      </c>
    </row>
    <row r="135" customFormat="false" ht="15" hidden="false" customHeight="false" outlineLevel="0" collapsed="false">
      <c r="G135" s="0" t="str">
        <f aca="false">TRIM(Március!A32)</f>
        <v>Rezsi (közművek, közös költség)</v>
      </c>
      <c r="H135" s="0" t="str">
        <f aca="false">IF(G135="","",IF(COUNTIF(G$2:G135,G135)=1,MAX(H$1:H134)+1,""))</f>
        <v/>
      </c>
    </row>
    <row r="136" customFormat="false" ht="15" hidden="false" customHeight="false" outlineLevel="0" collapsed="false">
      <c r="G136" s="0" t="str">
        <f aca="false">TRIM(Március!A33)</f>
        <v>Telefon, internet, digitális előfizetések</v>
      </c>
      <c r="H136" s="0" t="str">
        <f aca="false">IF(G136="","",IF(COUNTIF(G$2:G136,G136)=1,MAX(H$1:H135)+1,""))</f>
        <v/>
      </c>
    </row>
    <row r="137" customFormat="false" ht="15" hidden="false" customHeight="false" outlineLevel="0" collapsed="false">
      <c r="G137" s="0" t="str">
        <f aca="false">TRIM(Március!A34)</f>
        <v/>
      </c>
      <c r="H137" s="0" t="str">
        <f aca="false">IF(G137="","",IF(COUNTIF(G$2:G137,G137)=1,MAX(H$1:H136)+1,""))</f>
        <v/>
      </c>
    </row>
    <row r="138" customFormat="false" ht="15" hidden="false" customHeight="false" outlineLevel="0" collapsed="false">
      <c r="G138" s="0" t="str">
        <f aca="false">TRIM(Március!A37)</f>
        <v>Nagybevásárlások</v>
      </c>
      <c r="H138" s="0" t="str">
        <f aca="false">IF(G138="","",IF(COUNTIF(G$2:G138,G138)=1,MAX(H$1:H137)+1,""))</f>
        <v/>
      </c>
    </row>
    <row r="139" customFormat="false" ht="15" hidden="false" customHeight="false" outlineLevel="0" collapsed="false">
      <c r="G139" s="0" t="str">
        <f aca="false">TRIM(Március!A38)</f>
        <v>Drogéria</v>
      </c>
      <c r="H139" s="0" t="str">
        <f aca="false">IF(G139="","",IF(COUNTIF(G$2:G139,G139)=1,MAX(H$1:H138)+1,""))</f>
        <v/>
      </c>
    </row>
    <row r="140" customFormat="false" ht="15" hidden="false" customHeight="false" outlineLevel="0" collapsed="false">
      <c r="G140" s="0" t="str">
        <f aca="false">TRIM(Március!A39)</f>
        <v>Ételrendelés</v>
      </c>
      <c r="H140" s="0" t="str">
        <f aca="false">IF(G140="","",IF(COUNTIF(G$2:G140,G140)=1,MAX(H$1:H139)+1,""))</f>
        <v/>
      </c>
    </row>
    <row r="141" customFormat="false" ht="15" hidden="false" customHeight="false" outlineLevel="0" collapsed="false">
      <c r="G141" s="0" t="str">
        <f aca="false">TRIM(Március!A40)</f>
        <v>Egyéb élelmiszer, bevásárlás</v>
      </c>
      <c r="H141" s="0" t="str">
        <f aca="false">IF(G141="","",IF(COUNTIF(G$2:G141,G141)=1,MAX(H$1:H140)+1,""))</f>
        <v/>
      </c>
    </row>
    <row r="142" customFormat="false" ht="15" hidden="false" customHeight="false" outlineLevel="0" collapsed="false">
      <c r="G142" s="0" t="str">
        <f aca="false">TRIM(Március!A41)</f>
        <v/>
      </c>
      <c r="H142" s="0" t="str">
        <f aca="false">IF(G142="","",IF(COUNTIF(G$2:G142,G142)=1,MAX(H$1:H141)+1,""))</f>
        <v/>
      </c>
    </row>
    <row r="143" customFormat="false" ht="15" hidden="false" customHeight="false" outlineLevel="0" collapsed="false">
      <c r="G143" s="0" t="str">
        <f aca="false">TRIM(Március!A44)</f>
        <v>Lakásbiztosítás</v>
      </c>
      <c r="H143" s="0" t="str">
        <f aca="false">IF(G143="","",IF(COUNTIF(G$2:G143,G143)=1,MAX(H$1:H142)+1,""))</f>
        <v/>
      </c>
    </row>
    <row r="144" customFormat="false" ht="15" hidden="false" customHeight="false" outlineLevel="0" collapsed="false">
      <c r="G144" s="0" t="str">
        <f aca="false">TRIM(Március!A45)</f>
        <v>Életbiztosítás</v>
      </c>
      <c r="H144" s="0" t="str">
        <f aca="false">IF(G144="","",IF(COUNTIF(G$2:G144,G144)=1,MAX(H$1:H143)+1,""))</f>
        <v/>
      </c>
    </row>
    <row r="145" customFormat="false" ht="15" hidden="false" customHeight="false" outlineLevel="0" collapsed="false">
      <c r="G145" s="0" t="str">
        <f aca="false">TRIM(Március!A46)</f>
        <v>Baleset- és betegségbiztosítás</v>
      </c>
      <c r="H145" s="0" t="str">
        <f aca="false">IF(G145="","",IF(COUNTIF(G$2:G145,G145)=1,MAX(H$1:H144)+1,""))</f>
        <v/>
      </c>
    </row>
    <row r="146" customFormat="false" ht="15" hidden="false" customHeight="false" outlineLevel="0" collapsed="false">
      <c r="G146" s="0" t="str">
        <f aca="false">TRIM(Március!A47)</f>
        <v>Egészségbiztosítás</v>
      </c>
      <c r="H146" s="0" t="str">
        <f aca="false">IF(G146="","",IF(COUNTIF(G$2:G146,G146)=1,MAX(H$1:H145)+1,""))</f>
        <v/>
      </c>
    </row>
    <row r="147" customFormat="false" ht="15" hidden="false" customHeight="false" outlineLevel="0" collapsed="false">
      <c r="G147" s="0" t="str">
        <f aca="false">TRIM(Március!A48)</f>
        <v>Hiteltörlesztés</v>
      </c>
      <c r="H147" s="0" t="str">
        <f aca="false">IF(G147="","",IF(COUNTIF(G$2:G147,G147)=1,MAX(H$1:H146)+1,""))</f>
        <v/>
      </c>
    </row>
    <row r="148" customFormat="false" ht="15" hidden="false" customHeight="false" outlineLevel="0" collapsed="false">
      <c r="G148" s="0" t="str">
        <f aca="false">TRIM(Március!A49)</f>
        <v>Egyéb szerződés</v>
      </c>
      <c r="H148" s="0" t="str">
        <f aca="false">IF(G148="","",IF(COUNTIF(G$2:G148,G148)=1,MAX(H$1:H147)+1,""))</f>
        <v/>
      </c>
    </row>
    <row r="149" customFormat="false" ht="15" hidden="false" customHeight="false" outlineLevel="0" collapsed="false">
      <c r="G149" s="0" t="str">
        <f aca="false">TRIM(Március!A50)</f>
        <v/>
      </c>
      <c r="H149" s="0" t="str">
        <f aca="false">IF(G149="","",IF(COUNTIF(G$2:G149,G149)=1,MAX(H$1:H148)+1,""))</f>
        <v/>
      </c>
    </row>
    <row r="150" customFormat="false" ht="15" hidden="false" customHeight="false" outlineLevel="0" collapsed="false">
      <c r="G150" s="0" t="str">
        <f aca="false">TRIM(Március!A51)</f>
        <v/>
      </c>
      <c r="H150" s="0" t="str">
        <f aca="false">IF(G150="","",IF(COUNTIF(G$2:G150,G150)=1,MAX(H$1:H149)+1,""))</f>
        <v/>
      </c>
    </row>
    <row r="151" customFormat="false" ht="15" hidden="false" customHeight="false" outlineLevel="0" collapsed="false">
      <c r="G151" s="0" t="str">
        <f aca="false">TRIM(Március!A54)</f>
        <v>Üzemanyag, elektromos töltés</v>
      </c>
      <c r="H151" s="0" t="str">
        <f aca="false">IF(G151="","",IF(COUNTIF(G$2:G151,G151)=1,MAX(H$1:H150)+1,""))</f>
        <v/>
      </c>
    </row>
    <row r="152" customFormat="false" ht="15" hidden="false" customHeight="false" outlineLevel="0" collapsed="false">
      <c r="G152" s="0" t="str">
        <f aca="false">TRIM(Március!A55)</f>
        <v>Parkolás, útdíj, autópálya-matrica</v>
      </c>
      <c r="H152" s="0" t="str">
        <f aca="false">IF(G152="","",IF(COUNTIF(G$2:G152,G152)=1,MAX(H$1:H151)+1,""))</f>
        <v/>
      </c>
    </row>
    <row r="153" customFormat="false" ht="15" hidden="false" customHeight="false" outlineLevel="0" collapsed="false">
      <c r="G153" s="0" t="str">
        <f aca="false">TRIM(Március!A56)</f>
        <v>Szerviz, karbantartás, gumicsere</v>
      </c>
      <c r="H153" s="0" t="str">
        <f aca="false">IF(G153="","",IF(COUNTIF(G$2:G153,G153)=1,MAX(H$1:H152)+1,""))</f>
        <v/>
      </c>
    </row>
    <row r="154" customFormat="false" ht="15" hidden="false" customHeight="false" outlineLevel="0" collapsed="false">
      <c r="G154" s="0" t="str">
        <f aca="false">TRIM(Március!A57)</f>
        <v>KGFB (kötelező biztosítás)</v>
      </c>
      <c r="H154" s="0" t="str">
        <f aca="false">IF(G154="","",IF(COUNTIF(G$2:G154,G154)=1,MAX(H$1:H153)+1,""))</f>
        <v/>
      </c>
    </row>
    <row r="155" customFormat="false" ht="15" hidden="false" customHeight="false" outlineLevel="0" collapsed="false">
      <c r="G155" s="0" t="str">
        <f aca="false">TRIM(Március!A58)</f>
        <v>CASCO</v>
      </c>
      <c r="H155" s="0" t="str">
        <f aca="false">IF(G155="","",IF(COUNTIF(G$2:G155,G155)=1,MAX(H$1:H154)+1,""))</f>
        <v/>
      </c>
    </row>
    <row r="156" customFormat="false" ht="15" hidden="false" customHeight="false" outlineLevel="0" collapsed="false">
      <c r="G156" s="0" t="str">
        <f aca="false">TRIM(Március!A59)</f>
        <v>Gépjárműadó</v>
      </c>
      <c r="H156" s="0" t="str">
        <f aca="false">IF(G156="","",IF(COUNTIF(G$2:G156,G156)=1,MAX(H$1:H155)+1,""))</f>
        <v/>
      </c>
    </row>
    <row r="157" customFormat="false" ht="15" hidden="false" customHeight="false" outlineLevel="0" collapsed="false">
      <c r="G157" s="0" t="str">
        <f aca="false">TRIM(Március!A60)</f>
        <v>Autóhitel, lízing részlet</v>
      </c>
      <c r="H157" s="0" t="str">
        <f aca="false">IF(G157="","",IF(COUNTIF(G$2:G157,G157)=1,MAX(H$1:H156)+1,""))</f>
        <v/>
      </c>
    </row>
    <row r="158" customFormat="false" ht="15" hidden="false" customHeight="false" outlineLevel="0" collapsed="false">
      <c r="G158" s="0" t="str">
        <f aca="false">TRIM(Március!A61)</f>
        <v>Autómosás, egyéb autós költség</v>
      </c>
      <c r="H158" s="0" t="str">
        <f aca="false">IF(G158="","",IF(COUNTIF(G$2:G158,G158)=1,MAX(H$1:H157)+1,""))</f>
        <v/>
      </c>
    </row>
    <row r="159" customFormat="false" ht="15" hidden="false" customHeight="false" outlineLevel="0" collapsed="false">
      <c r="G159" s="0" t="str">
        <f aca="false">TRIM(Március!A62)</f>
        <v>Tömegközlekedés, bérlet</v>
      </c>
      <c r="H159" s="0" t="str">
        <f aca="false">IF(G159="","",IF(COUNTIF(G$2:G159,G159)=1,MAX(H$1:H158)+1,""))</f>
        <v/>
      </c>
    </row>
    <row r="160" customFormat="false" ht="15" hidden="false" customHeight="false" outlineLevel="0" collapsed="false">
      <c r="G160" s="0" t="str">
        <f aca="false">TRIM(Március!A63)</f>
        <v>Taxi, roller, bicikli, közösségi közlekedés</v>
      </c>
      <c r="H160" s="0" t="str">
        <f aca="false">IF(G160="","",IF(COUNTIF(G$2:G160,G160)=1,MAX(H$1:H159)+1,""))</f>
        <v/>
      </c>
    </row>
    <row r="161" customFormat="false" ht="15" hidden="false" customHeight="false" outlineLevel="0" collapsed="false">
      <c r="G161" s="0" t="str">
        <f aca="false">TRIM(Március!A64)</f>
        <v/>
      </c>
      <c r="H161" s="0" t="str">
        <f aca="false">IF(G161="","",IF(COUNTIF(G$2:G161,G161)=1,MAX(H$1:H160)+1,""))</f>
        <v/>
      </c>
    </row>
    <row r="162" customFormat="false" ht="15" hidden="false" customHeight="false" outlineLevel="0" collapsed="false">
      <c r="G162" s="0" t="str">
        <f aca="false">TRIM(Március!A65)</f>
        <v/>
      </c>
      <c r="H162" s="0" t="str">
        <f aca="false">IF(G162="","",IF(COUNTIF(G$2:G162,G162)=1,MAX(H$1:H161)+1,""))</f>
        <v/>
      </c>
    </row>
    <row r="163" customFormat="false" ht="15" hidden="false" customHeight="false" outlineLevel="0" collapsed="false">
      <c r="G163" s="0" t="str">
        <f aca="false">TRIM(Március!A68)</f>
        <v>Gyerek ruha, cipő</v>
      </c>
      <c r="H163" s="0" t="str">
        <f aca="false">IF(G163="","",IF(COUNTIF(G$2:G163,G163)=1,MAX(H$1:H162)+1,""))</f>
        <v/>
      </c>
    </row>
    <row r="164" customFormat="false" ht="15" hidden="false" customHeight="false" outlineLevel="0" collapsed="false">
      <c r="G164" s="0" t="str">
        <f aca="false">TRIM(Március!A69)</f>
        <v>Gyerek étkeztetés (menza)</v>
      </c>
      <c r="H164" s="0" t="str">
        <f aca="false">IF(G164="","",IF(COUNTIF(G$2:G164,G164)=1,MAX(H$1:H163)+1,""))</f>
        <v/>
      </c>
    </row>
    <row r="165" customFormat="false" ht="15" hidden="false" customHeight="false" outlineLevel="0" collapsed="false">
      <c r="G165" s="0" t="str">
        <f aca="false">TRIM(Március!A70)</f>
        <v>Bölcsőde, óvoda, iskola díjai</v>
      </c>
      <c r="H165" s="0" t="str">
        <f aca="false">IF(G165="","",IF(COUNTIF(G$2:G165,G165)=1,MAX(H$1:H164)+1,""))</f>
        <v/>
      </c>
    </row>
    <row r="166" customFormat="false" ht="15" hidden="false" customHeight="false" outlineLevel="0" collapsed="false">
      <c r="G166" s="0" t="str">
        <f aca="false">TRIM(Március!A71)</f>
        <v>Tankönyv, tanszer</v>
      </c>
      <c r="H166" s="0" t="str">
        <f aca="false">IF(G166="","",IF(COUNTIF(G$2:G166,G166)=1,MAX(H$1:H165)+1,""))</f>
        <v/>
      </c>
    </row>
    <row r="167" customFormat="false" ht="15" hidden="false" customHeight="false" outlineLevel="0" collapsed="false">
      <c r="G167" s="0" t="str">
        <f aca="false">TRIM(Március!A72)</f>
        <v>Különórák, edzések</v>
      </c>
      <c r="H167" s="0" t="str">
        <f aca="false">IF(G167="","",IF(COUNTIF(G$2:G167,G167)=1,MAX(H$1:H166)+1,""))</f>
        <v/>
      </c>
    </row>
    <row r="168" customFormat="false" ht="15" hidden="false" customHeight="false" outlineLevel="0" collapsed="false">
      <c r="G168" s="0" t="str">
        <f aca="false">TRIM(Március!A73)</f>
        <v>Magánóra, korrepetálás</v>
      </c>
      <c r="H168" s="0" t="str">
        <f aca="false">IF(G168="","",IF(COUNTIF(G$2:G168,G168)=1,MAX(H$1:H167)+1,""))</f>
        <v/>
      </c>
    </row>
    <row r="169" customFormat="false" ht="15" hidden="false" customHeight="false" outlineLevel="0" collapsed="false">
      <c r="G169" s="0" t="str">
        <f aca="false">TRIM(Március!A74)</f>
        <v>Zsebpénz</v>
      </c>
      <c r="H169" s="0" t="str">
        <f aca="false">IF(G169="","",IF(COUNTIF(G$2:G169,G169)=1,MAX(H$1:H168)+1,""))</f>
        <v/>
      </c>
    </row>
    <row r="170" customFormat="false" ht="15" hidden="false" customHeight="false" outlineLevel="0" collapsed="false">
      <c r="G170" s="0" t="str">
        <f aca="false">TRIM(Március!A75)</f>
        <v>Játékok, szórakozás</v>
      </c>
      <c r="H170" s="0" t="str">
        <f aca="false">IF(G170="","",IF(COUNTIF(G$2:G170,G170)=1,MAX(H$1:H169)+1,""))</f>
        <v/>
      </c>
    </row>
    <row r="171" customFormat="false" ht="15" hidden="false" customHeight="false" outlineLevel="0" collapsed="false">
      <c r="G171" s="0" t="str">
        <f aca="false">TRIM(Március!A76)</f>
        <v/>
      </c>
      <c r="H171" s="0" t="str">
        <f aca="false">IF(G171="","",IF(COUNTIF(G$2:G171,G171)=1,MAX(H$1:H170)+1,""))</f>
        <v/>
      </c>
    </row>
    <row r="172" customFormat="false" ht="15" hidden="false" customHeight="false" outlineLevel="0" collapsed="false">
      <c r="G172" s="0" t="str">
        <f aca="false">TRIM(Március!A77)</f>
        <v/>
      </c>
      <c r="H172" s="0" t="str">
        <f aca="false">IF(G172="","",IF(COUNTIF(G$2:G172,G172)=1,MAX(H$1:H171)+1,""))</f>
        <v/>
      </c>
    </row>
    <row r="173" customFormat="false" ht="15" hidden="false" customHeight="false" outlineLevel="0" collapsed="false">
      <c r="G173" s="0" t="str">
        <f aca="false">TRIM(Március!A78)</f>
        <v/>
      </c>
      <c r="H173" s="0" t="str">
        <f aca="false">IF(G173="","",IF(COUNTIF(G$2:G173,G173)=1,MAX(H$1:H172)+1,""))</f>
        <v/>
      </c>
    </row>
    <row r="174" customFormat="false" ht="15" hidden="false" customHeight="false" outlineLevel="0" collapsed="false">
      <c r="G174" s="0" t="str">
        <f aca="false">TRIM(Március!A81)</f>
        <v>Ruha</v>
      </c>
      <c r="H174" s="0" t="str">
        <f aca="false">IF(G174="","",IF(COUNTIF(G$2:G174,G174)=1,MAX(H$1:H173)+1,""))</f>
        <v/>
      </c>
    </row>
    <row r="175" customFormat="false" ht="15" hidden="false" customHeight="false" outlineLevel="0" collapsed="false">
      <c r="G175" s="0" t="str">
        <f aca="false">TRIM(Március!A82)</f>
        <v>Cipő</v>
      </c>
      <c r="H175" s="0" t="str">
        <f aca="false">IF(G175="","",IF(COUNTIF(G$2:G175,G175)=1,MAX(H$1:H174)+1,""))</f>
        <v/>
      </c>
    </row>
    <row r="176" customFormat="false" ht="15" hidden="false" customHeight="false" outlineLevel="0" collapsed="false">
      <c r="G176" s="0" t="str">
        <f aca="false">TRIM(Március!A83)</f>
        <v>Kiegészítők (táska, ékszer, óra)</v>
      </c>
      <c r="H176" s="0" t="str">
        <f aca="false">IF(G176="","",IF(COUNTIF(G$2:G176,G176)=1,MAX(H$1:H175)+1,""))</f>
        <v/>
      </c>
    </row>
    <row r="177" customFormat="false" ht="15" hidden="false" customHeight="false" outlineLevel="0" collapsed="false">
      <c r="G177" s="0" t="str">
        <f aca="false">TRIM(Március!A84)</f>
        <v/>
      </c>
      <c r="H177" s="0" t="str">
        <f aca="false">IF(G177="","",IF(COUNTIF(G$2:G177,G177)=1,MAX(H$1:H176)+1,""))</f>
        <v/>
      </c>
    </row>
    <row r="178" customFormat="false" ht="15" hidden="false" customHeight="false" outlineLevel="0" collapsed="false">
      <c r="G178" s="0" t="str">
        <f aca="false">TRIM(Március!A87)</f>
        <v>Fodrász, borbély</v>
      </c>
      <c r="H178" s="0" t="str">
        <f aca="false">IF(G178="","",IF(COUNTIF(G$2:G178,G178)=1,MAX(H$1:H177)+1,""))</f>
        <v/>
      </c>
    </row>
    <row r="179" customFormat="false" ht="15" hidden="false" customHeight="false" outlineLevel="0" collapsed="false">
      <c r="G179" s="0" t="str">
        <f aca="false">TRIM(Március!A88)</f>
        <v>Kozmetikus, manikűr, pedikűr</v>
      </c>
      <c r="H179" s="0" t="str">
        <f aca="false">IF(G179="","",IF(COUNTIF(G$2:G179,G179)=1,MAX(H$1:H178)+1,""))</f>
        <v/>
      </c>
    </row>
    <row r="180" customFormat="false" ht="15" hidden="false" customHeight="false" outlineLevel="0" collapsed="false">
      <c r="G180" s="0" t="str">
        <f aca="false">TRIM(Március!A89)</f>
        <v>Kozmetikumok, parfüm</v>
      </c>
      <c r="H180" s="0" t="str">
        <f aca="false">IF(G180="","",IF(COUNTIF(G$2:G180,G180)=1,MAX(H$1:H179)+1,""))</f>
        <v/>
      </c>
    </row>
    <row r="181" customFormat="false" ht="15" hidden="false" customHeight="false" outlineLevel="0" collapsed="false">
      <c r="G181" s="0" t="str">
        <f aca="false">TRIM(Március!A90)</f>
        <v>Edzés, sport, bérlet</v>
      </c>
      <c r="H181" s="0" t="str">
        <f aca="false">IF(G181="","",IF(COUNTIF(G$2:G181,G181)=1,MAX(H$1:H180)+1,""))</f>
        <v/>
      </c>
    </row>
    <row r="182" customFormat="false" ht="15" hidden="false" customHeight="false" outlineLevel="0" collapsed="false">
      <c r="G182" s="0" t="str">
        <f aca="false">TRIM(Március!A91)</f>
        <v>Gyógyszer, vitamin</v>
      </c>
      <c r="H182" s="0" t="str">
        <f aca="false">IF(G182="","",IF(COUNTIF(G$2:G182,G182)=1,MAX(H$1:H181)+1,""))</f>
        <v/>
      </c>
    </row>
    <row r="183" customFormat="false" ht="15" hidden="false" customHeight="false" outlineLevel="0" collapsed="false">
      <c r="G183" s="0" t="str">
        <f aca="false">TRIM(Március!A92)</f>
        <v>Orvos, fogorvos, magánrendelés</v>
      </c>
      <c r="H183" s="0" t="str">
        <f aca="false">IF(G183="","",IF(COUNTIF(G$2:G183,G183)=1,MAX(H$1:H182)+1,""))</f>
        <v/>
      </c>
    </row>
    <row r="184" customFormat="false" ht="15" hidden="false" customHeight="false" outlineLevel="0" collapsed="false">
      <c r="G184" s="0" t="str">
        <f aca="false">TRIM(Március!A93)</f>
        <v/>
      </c>
      <c r="H184" s="0" t="str">
        <f aca="false">IF(G184="","",IF(COUNTIF(G$2:G184,G184)=1,MAX(H$1:H183)+1,""))</f>
        <v/>
      </c>
    </row>
    <row r="185" customFormat="false" ht="15" hidden="false" customHeight="false" outlineLevel="0" collapsed="false">
      <c r="G185" s="0" t="str">
        <f aca="false">TRIM(Március!A96)</f>
        <v>Cigaretta, dohány</v>
      </c>
      <c r="H185" s="0" t="str">
        <f aca="false">IF(G185="","",IF(COUNTIF(G$2:G185,G185)=1,MAX(H$1:H184)+1,""))</f>
        <v/>
      </c>
    </row>
    <row r="186" customFormat="false" ht="15" hidden="false" customHeight="false" outlineLevel="0" collapsed="false">
      <c r="G186" s="0" t="str">
        <f aca="false">TRIM(Március!A97)</f>
        <v>E-cigaretta, hevített dohánytermék</v>
      </c>
      <c r="H186" s="0" t="str">
        <f aca="false">IF(G186="","",IF(COUNTIF(G$2:G186,G186)=1,MAX(H$1:H185)+1,""))</f>
        <v/>
      </c>
    </row>
    <row r="187" customFormat="false" ht="15" hidden="false" customHeight="false" outlineLevel="0" collapsed="false">
      <c r="G187" s="0" t="str">
        <f aca="false">TRIM(Március!A98)</f>
        <v/>
      </c>
      <c r="H187" s="0" t="str">
        <f aca="false">IF(G187="","",IF(COUNTIF(G$2:G187,G187)=1,MAX(H$1:H186)+1,""))</f>
        <v/>
      </c>
    </row>
    <row r="188" customFormat="false" ht="15" hidden="false" customHeight="false" outlineLevel="0" collapsed="false">
      <c r="G188" s="0" t="str">
        <f aca="false">TRIM(Március!A101)</f>
        <v>Állateledel, jutalomfalat</v>
      </c>
      <c r="H188" s="0" t="str">
        <f aca="false">IF(G188="","",IF(COUNTIF(G$2:G188,G188)=1,MAX(H$1:H187)+1,""))</f>
        <v/>
      </c>
    </row>
    <row r="189" customFormat="false" ht="15" hidden="false" customHeight="false" outlineLevel="0" collapsed="false">
      <c r="G189" s="0" t="str">
        <f aca="false">TRIM(Március!A102)</f>
        <v>Állatorvos, oltások, gyógyszer</v>
      </c>
      <c r="H189" s="0" t="str">
        <f aca="false">IF(G189="","",IF(COUNTIF(G$2:G189,G189)=1,MAX(H$1:H188)+1,""))</f>
        <v/>
      </c>
    </row>
    <row r="190" customFormat="false" ht="15" hidden="false" customHeight="false" outlineLevel="0" collapsed="false">
      <c r="G190" s="0" t="str">
        <f aca="false">TRIM(Március!A103)</f>
        <v>Felszerelés, alom, játékok</v>
      </c>
      <c r="H190" s="0" t="str">
        <f aca="false">IF(G190="","",IF(COUNTIF(G$2:G190,G190)=1,MAX(H$1:H189)+1,""))</f>
        <v/>
      </c>
    </row>
    <row r="191" customFormat="false" ht="15" hidden="false" customHeight="false" outlineLevel="0" collapsed="false">
      <c r="G191" s="0" t="str">
        <f aca="false">TRIM(Március!A104)</f>
        <v>Kisállat-kozmetika, panzió, kutyaiskola</v>
      </c>
      <c r="H191" s="0" t="str">
        <f aca="false">IF(G191="","",IF(COUNTIF(G$2:G191,G191)=1,MAX(H$1:H190)+1,""))</f>
        <v/>
      </c>
    </row>
    <row r="192" customFormat="false" ht="15" hidden="false" customHeight="false" outlineLevel="0" collapsed="false">
      <c r="G192" s="0" t="str">
        <f aca="false">TRIM(Március!A105)</f>
        <v/>
      </c>
      <c r="H192" s="0" t="str">
        <f aca="false">IF(G192="","",IF(COUNTIF(G$2:G192,G192)=1,MAX(H$1:H191)+1,""))</f>
        <v/>
      </c>
    </row>
    <row r="193" customFormat="false" ht="15" hidden="false" customHeight="false" outlineLevel="0" collapsed="false">
      <c r="G193" s="0" t="str">
        <f aca="false">TRIM(Március!A108)</f>
        <v>Hobbi</v>
      </c>
      <c r="H193" s="0" t="str">
        <f aca="false">IF(G193="","",IF(COUNTIF(G$2:G193,G193)=1,MAX(H$1:H192)+1,""))</f>
        <v/>
      </c>
    </row>
    <row r="194" customFormat="false" ht="15" hidden="false" customHeight="false" outlineLevel="0" collapsed="false">
      <c r="G194" s="0" t="str">
        <f aca="false">TRIM(Március!A109)</f>
        <v>Szórakozás (mozi, színház, koncert, étterem)</v>
      </c>
      <c r="H194" s="0" t="str">
        <f aca="false">IF(G194="","",IF(COUNTIF(G$2:G194,G194)=1,MAX(H$1:H193)+1,""))</f>
        <v/>
      </c>
    </row>
    <row r="195" customFormat="false" ht="15" hidden="false" customHeight="false" outlineLevel="0" collapsed="false">
      <c r="G195" s="0" t="str">
        <f aca="false">TRIM(Március!A110)</f>
        <v>Nyaralás, utazás</v>
      </c>
      <c r="H195" s="0" t="str">
        <f aca="false">IF(G195="","",IF(COUNTIF(G$2:G195,G195)=1,MAX(H$1:H194)+1,""))</f>
        <v/>
      </c>
    </row>
    <row r="196" customFormat="false" ht="15" hidden="false" customHeight="false" outlineLevel="0" collapsed="false">
      <c r="G196" s="0" t="str">
        <f aca="false">TRIM(Március!A111)</f>
        <v/>
      </c>
      <c r="H196" s="0" t="str">
        <f aca="false">IF(G196="","",IF(COUNTIF(G$2:G196,G196)=1,MAX(H$1:H195)+1,""))</f>
        <v/>
      </c>
    </row>
    <row r="197" customFormat="false" ht="15" hidden="false" customHeight="false" outlineLevel="0" collapsed="false">
      <c r="G197" s="0" t="str">
        <f aca="false">TRIM(Március!A114)</f>
        <v>Ünnepek, ajándékok</v>
      </c>
      <c r="H197" s="0" t="str">
        <f aca="false">IF(G197="","",IF(COUNTIF(G$2:G197,G197)=1,MAX(H$1:H196)+1,""))</f>
        <v/>
      </c>
    </row>
    <row r="198" customFormat="false" ht="15" hidden="false" customHeight="false" outlineLevel="0" collapsed="false">
      <c r="G198" s="0" t="str">
        <f aca="false">TRIM(Március!A115)</f>
        <v>Egyéb kiadás</v>
      </c>
      <c r="H198" s="0" t="str">
        <f aca="false">IF(G198="","",IF(COUNTIF(G$2:G198,G198)=1,MAX(H$1:H197)+1,""))</f>
        <v/>
      </c>
    </row>
    <row r="199" customFormat="false" ht="15" hidden="false" customHeight="false" outlineLevel="0" collapsed="false">
      <c r="G199" s="0" t="str">
        <f aca="false">TRIM(Március!A116)</f>
        <v/>
      </c>
      <c r="H199" s="0" t="str">
        <f aca="false">IF(G199="","",IF(COUNTIF(G$2:G199,G199)=1,MAX(H$1:H198)+1,""))</f>
        <v/>
      </c>
    </row>
    <row r="200" customFormat="false" ht="15" hidden="false" customHeight="false" outlineLevel="0" collapsed="false">
      <c r="G200" s="0" t="str">
        <f aca="false">TRIM(Április!A31)</f>
        <v>Albérleti díj / lakáshitel</v>
      </c>
      <c r="H200" s="0" t="str">
        <f aca="false">IF(G200="","",IF(COUNTIF(G$2:G200,G200)=1,MAX(H$1:H199)+1,""))</f>
        <v/>
      </c>
    </row>
    <row r="201" customFormat="false" ht="15" hidden="false" customHeight="false" outlineLevel="0" collapsed="false">
      <c r="G201" s="0" t="str">
        <f aca="false">TRIM(Április!A32)</f>
        <v>Rezsi (közművek, közös költség)</v>
      </c>
      <c r="H201" s="0" t="str">
        <f aca="false">IF(G201="","",IF(COUNTIF(G$2:G201,G201)=1,MAX(H$1:H200)+1,""))</f>
        <v/>
      </c>
    </row>
    <row r="202" customFormat="false" ht="15" hidden="false" customHeight="false" outlineLevel="0" collapsed="false">
      <c r="G202" s="0" t="str">
        <f aca="false">TRIM(Április!A33)</f>
        <v>Telefon, internet, digitális előfizetések</v>
      </c>
      <c r="H202" s="0" t="str">
        <f aca="false">IF(G202="","",IF(COUNTIF(G$2:G202,G202)=1,MAX(H$1:H201)+1,""))</f>
        <v/>
      </c>
    </row>
    <row r="203" customFormat="false" ht="15" hidden="false" customHeight="false" outlineLevel="0" collapsed="false">
      <c r="G203" s="0" t="str">
        <f aca="false">TRIM(Április!A34)</f>
        <v/>
      </c>
      <c r="H203" s="0" t="str">
        <f aca="false">IF(G203="","",IF(COUNTIF(G$2:G203,G203)=1,MAX(H$1:H202)+1,""))</f>
        <v/>
      </c>
    </row>
    <row r="204" customFormat="false" ht="15" hidden="false" customHeight="false" outlineLevel="0" collapsed="false">
      <c r="G204" s="0" t="str">
        <f aca="false">TRIM(Április!A37)</f>
        <v>Nagybevásárlások</v>
      </c>
      <c r="H204" s="0" t="str">
        <f aca="false">IF(G204="","",IF(COUNTIF(G$2:G204,G204)=1,MAX(H$1:H203)+1,""))</f>
        <v/>
      </c>
    </row>
    <row r="205" customFormat="false" ht="15" hidden="false" customHeight="false" outlineLevel="0" collapsed="false">
      <c r="G205" s="0" t="str">
        <f aca="false">TRIM(Április!A38)</f>
        <v>Drogéria</v>
      </c>
      <c r="H205" s="0" t="str">
        <f aca="false">IF(G205="","",IF(COUNTIF(G$2:G205,G205)=1,MAX(H$1:H204)+1,""))</f>
        <v/>
      </c>
    </row>
    <row r="206" customFormat="false" ht="15" hidden="false" customHeight="false" outlineLevel="0" collapsed="false">
      <c r="G206" s="0" t="str">
        <f aca="false">TRIM(Április!A39)</f>
        <v>Ételrendelés</v>
      </c>
      <c r="H206" s="0" t="str">
        <f aca="false">IF(G206="","",IF(COUNTIF(G$2:G206,G206)=1,MAX(H$1:H205)+1,""))</f>
        <v/>
      </c>
    </row>
    <row r="207" customFormat="false" ht="15" hidden="false" customHeight="false" outlineLevel="0" collapsed="false">
      <c r="G207" s="0" t="str">
        <f aca="false">TRIM(Április!A40)</f>
        <v>Egyéb élelmiszer, bevásárlás</v>
      </c>
      <c r="H207" s="0" t="str">
        <f aca="false">IF(G207="","",IF(COUNTIF(G$2:G207,G207)=1,MAX(H$1:H206)+1,""))</f>
        <v/>
      </c>
    </row>
    <row r="208" customFormat="false" ht="15" hidden="false" customHeight="false" outlineLevel="0" collapsed="false">
      <c r="G208" s="0" t="str">
        <f aca="false">TRIM(Április!A41)</f>
        <v/>
      </c>
      <c r="H208" s="0" t="str">
        <f aca="false">IF(G208="","",IF(COUNTIF(G$2:G208,G208)=1,MAX(H$1:H207)+1,""))</f>
        <v/>
      </c>
    </row>
    <row r="209" customFormat="false" ht="15" hidden="false" customHeight="false" outlineLevel="0" collapsed="false">
      <c r="G209" s="0" t="str">
        <f aca="false">TRIM(Április!A44)</f>
        <v>Lakásbiztosítás</v>
      </c>
      <c r="H209" s="0" t="str">
        <f aca="false">IF(G209="","",IF(COUNTIF(G$2:G209,G209)=1,MAX(H$1:H208)+1,""))</f>
        <v/>
      </c>
    </row>
    <row r="210" customFormat="false" ht="15" hidden="false" customHeight="false" outlineLevel="0" collapsed="false">
      <c r="G210" s="0" t="str">
        <f aca="false">TRIM(Április!A45)</f>
        <v>Életbiztosítás</v>
      </c>
      <c r="H210" s="0" t="str">
        <f aca="false">IF(G210="","",IF(COUNTIF(G$2:G210,G210)=1,MAX(H$1:H209)+1,""))</f>
        <v/>
      </c>
    </row>
    <row r="211" customFormat="false" ht="15" hidden="false" customHeight="false" outlineLevel="0" collapsed="false">
      <c r="G211" s="0" t="str">
        <f aca="false">TRIM(Április!A46)</f>
        <v>Baleset- és betegségbiztosítás</v>
      </c>
      <c r="H211" s="0" t="str">
        <f aca="false">IF(G211="","",IF(COUNTIF(G$2:G211,G211)=1,MAX(H$1:H210)+1,""))</f>
        <v/>
      </c>
    </row>
    <row r="212" customFormat="false" ht="15" hidden="false" customHeight="false" outlineLevel="0" collapsed="false">
      <c r="G212" s="0" t="str">
        <f aca="false">TRIM(Április!A47)</f>
        <v>Egészségbiztosítás</v>
      </c>
      <c r="H212" s="0" t="str">
        <f aca="false">IF(G212="","",IF(COUNTIF(G$2:G212,G212)=1,MAX(H$1:H211)+1,""))</f>
        <v/>
      </c>
    </row>
    <row r="213" customFormat="false" ht="15" hidden="false" customHeight="false" outlineLevel="0" collapsed="false">
      <c r="G213" s="0" t="str">
        <f aca="false">TRIM(Április!A48)</f>
        <v>Hiteltörlesztés</v>
      </c>
      <c r="H213" s="0" t="str">
        <f aca="false">IF(G213="","",IF(COUNTIF(G$2:G213,G213)=1,MAX(H$1:H212)+1,""))</f>
        <v/>
      </c>
    </row>
    <row r="214" customFormat="false" ht="15" hidden="false" customHeight="false" outlineLevel="0" collapsed="false">
      <c r="G214" s="0" t="str">
        <f aca="false">TRIM(Április!A49)</f>
        <v>Egyéb szerződés</v>
      </c>
      <c r="H214" s="0" t="str">
        <f aca="false">IF(G214="","",IF(COUNTIF(G$2:G214,G214)=1,MAX(H$1:H213)+1,""))</f>
        <v/>
      </c>
    </row>
    <row r="215" customFormat="false" ht="15" hidden="false" customHeight="false" outlineLevel="0" collapsed="false">
      <c r="G215" s="0" t="str">
        <f aca="false">TRIM(Április!A50)</f>
        <v/>
      </c>
      <c r="H215" s="0" t="str">
        <f aca="false">IF(G215="","",IF(COUNTIF(G$2:G215,G215)=1,MAX(H$1:H214)+1,""))</f>
        <v/>
      </c>
    </row>
    <row r="216" customFormat="false" ht="15" hidden="false" customHeight="false" outlineLevel="0" collapsed="false">
      <c r="G216" s="0" t="str">
        <f aca="false">TRIM(Április!A51)</f>
        <v/>
      </c>
      <c r="H216" s="0" t="str">
        <f aca="false">IF(G216="","",IF(COUNTIF(G$2:G216,G216)=1,MAX(H$1:H215)+1,""))</f>
        <v/>
      </c>
    </row>
    <row r="217" customFormat="false" ht="15" hidden="false" customHeight="false" outlineLevel="0" collapsed="false">
      <c r="G217" s="0" t="str">
        <f aca="false">TRIM(Április!A54)</f>
        <v>Üzemanyag, elektromos töltés</v>
      </c>
      <c r="H217" s="0" t="str">
        <f aca="false">IF(G217="","",IF(COUNTIF(G$2:G217,G217)=1,MAX(H$1:H216)+1,""))</f>
        <v/>
      </c>
    </row>
    <row r="218" customFormat="false" ht="15" hidden="false" customHeight="false" outlineLevel="0" collapsed="false">
      <c r="G218" s="0" t="str">
        <f aca="false">TRIM(Április!A55)</f>
        <v>Parkolás, útdíj, autópálya-matrica</v>
      </c>
      <c r="H218" s="0" t="str">
        <f aca="false">IF(G218="","",IF(COUNTIF(G$2:G218,G218)=1,MAX(H$1:H217)+1,""))</f>
        <v/>
      </c>
    </row>
    <row r="219" customFormat="false" ht="15" hidden="false" customHeight="false" outlineLevel="0" collapsed="false">
      <c r="G219" s="0" t="str">
        <f aca="false">TRIM(Április!A56)</f>
        <v>Szerviz, karbantartás, gumicsere</v>
      </c>
      <c r="H219" s="0" t="str">
        <f aca="false">IF(G219="","",IF(COUNTIF(G$2:G219,G219)=1,MAX(H$1:H218)+1,""))</f>
        <v/>
      </c>
    </row>
    <row r="220" customFormat="false" ht="15" hidden="false" customHeight="false" outlineLevel="0" collapsed="false">
      <c r="G220" s="0" t="str">
        <f aca="false">TRIM(Április!A57)</f>
        <v>KGFB (kötelező biztosítás)</v>
      </c>
      <c r="H220" s="0" t="str">
        <f aca="false">IF(G220="","",IF(COUNTIF(G$2:G220,G220)=1,MAX(H$1:H219)+1,""))</f>
        <v/>
      </c>
    </row>
    <row r="221" customFormat="false" ht="15" hidden="false" customHeight="false" outlineLevel="0" collapsed="false">
      <c r="G221" s="0" t="str">
        <f aca="false">TRIM(Április!A58)</f>
        <v>CASCO</v>
      </c>
      <c r="H221" s="0" t="str">
        <f aca="false">IF(G221="","",IF(COUNTIF(G$2:G221,G221)=1,MAX(H$1:H220)+1,""))</f>
        <v/>
      </c>
    </row>
    <row r="222" customFormat="false" ht="15" hidden="false" customHeight="false" outlineLevel="0" collapsed="false">
      <c r="G222" s="0" t="str">
        <f aca="false">TRIM(Április!A59)</f>
        <v>Gépjárműadó</v>
      </c>
      <c r="H222" s="0" t="str">
        <f aca="false">IF(G222="","",IF(COUNTIF(G$2:G222,G222)=1,MAX(H$1:H221)+1,""))</f>
        <v/>
      </c>
    </row>
    <row r="223" customFormat="false" ht="15" hidden="false" customHeight="false" outlineLevel="0" collapsed="false">
      <c r="G223" s="0" t="str">
        <f aca="false">TRIM(Április!A60)</f>
        <v>Autóhitel, lízing részlet</v>
      </c>
      <c r="H223" s="0" t="str">
        <f aca="false">IF(G223="","",IF(COUNTIF(G$2:G223,G223)=1,MAX(H$1:H222)+1,""))</f>
        <v/>
      </c>
    </row>
    <row r="224" customFormat="false" ht="15" hidden="false" customHeight="false" outlineLevel="0" collapsed="false">
      <c r="G224" s="0" t="str">
        <f aca="false">TRIM(Április!A61)</f>
        <v>Autómosás, egyéb autós költség</v>
      </c>
      <c r="H224" s="0" t="str">
        <f aca="false">IF(G224="","",IF(COUNTIF(G$2:G224,G224)=1,MAX(H$1:H223)+1,""))</f>
        <v/>
      </c>
    </row>
    <row r="225" customFormat="false" ht="15" hidden="false" customHeight="false" outlineLevel="0" collapsed="false">
      <c r="G225" s="0" t="str">
        <f aca="false">TRIM(Április!A62)</f>
        <v>Tömegközlekedés, bérlet</v>
      </c>
      <c r="H225" s="0" t="str">
        <f aca="false">IF(G225="","",IF(COUNTIF(G$2:G225,G225)=1,MAX(H$1:H224)+1,""))</f>
        <v/>
      </c>
    </row>
    <row r="226" customFormat="false" ht="15" hidden="false" customHeight="false" outlineLevel="0" collapsed="false">
      <c r="G226" s="0" t="str">
        <f aca="false">TRIM(Április!A63)</f>
        <v>Taxi, roller, bicikli, közösségi közlekedés</v>
      </c>
      <c r="H226" s="0" t="str">
        <f aca="false">IF(G226="","",IF(COUNTIF(G$2:G226,G226)=1,MAX(H$1:H225)+1,""))</f>
        <v/>
      </c>
    </row>
    <row r="227" customFormat="false" ht="15" hidden="false" customHeight="false" outlineLevel="0" collapsed="false">
      <c r="G227" s="0" t="str">
        <f aca="false">TRIM(Április!A64)</f>
        <v/>
      </c>
      <c r="H227" s="0" t="str">
        <f aca="false">IF(G227="","",IF(COUNTIF(G$2:G227,G227)=1,MAX(H$1:H226)+1,""))</f>
        <v/>
      </c>
    </row>
    <row r="228" customFormat="false" ht="15" hidden="false" customHeight="false" outlineLevel="0" collapsed="false">
      <c r="G228" s="0" t="str">
        <f aca="false">TRIM(Április!A65)</f>
        <v/>
      </c>
      <c r="H228" s="0" t="str">
        <f aca="false">IF(G228="","",IF(COUNTIF(G$2:G228,G228)=1,MAX(H$1:H227)+1,""))</f>
        <v/>
      </c>
    </row>
    <row r="229" customFormat="false" ht="15" hidden="false" customHeight="false" outlineLevel="0" collapsed="false">
      <c r="G229" s="0" t="str">
        <f aca="false">TRIM(Április!A68)</f>
        <v>Gyerek ruha, cipő</v>
      </c>
      <c r="H229" s="0" t="str">
        <f aca="false">IF(G229="","",IF(COUNTIF(G$2:G229,G229)=1,MAX(H$1:H228)+1,""))</f>
        <v/>
      </c>
    </row>
    <row r="230" customFormat="false" ht="15" hidden="false" customHeight="false" outlineLevel="0" collapsed="false">
      <c r="G230" s="0" t="str">
        <f aca="false">TRIM(Április!A69)</f>
        <v>Gyerek étkeztetés (menza)</v>
      </c>
      <c r="H230" s="0" t="str">
        <f aca="false">IF(G230="","",IF(COUNTIF(G$2:G230,G230)=1,MAX(H$1:H229)+1,""))</f>
        <v/>
      </c>
    </row>
    <row r="231" customFormat="false" ht="15" hidden="false" customHeight="false" outlineLevel="0" collapsed="false">
      <c r="G231" s="0" t="str">
        <f aca="false">TRIM(Április!A70)</f>
        <v>Bölcsőde, óvoda, iskola díjai</v>
      </c>
      <c r="H231" s="0" t="str">
        <f aca="false">IF(G231="","",IF(COUNTIF(G$2:G231,G231)=1,MAX(H$1:H230)+1,""))</f>
        <v/>
      </c>
    </row>
    <row r="232" customFormat="false" ht="15" hidden="false" customHeight="false" outlineLevel="0" collapsed="false">
      <c r="G232" s="0" t="str">
        <f aca="false">TRIM(Április!A71)</f>
        <v>Tankönyv, tanszer</v>
      </c>
      <c r="H232" s="0" t="str">
        <f aca="false">IF(G232="","",IF(COUNTIF(G$2:G232,G232)=1,MAX(H$1:H231)+1,""))</f>
        <v/>
      </c>
    </row>
    <row r="233" customFormat="false" ht="15" hidden="false" customHeight="false" outlineLevel="0" collapsed="false">
      <c r="G233" s="0" t="str">
        <f aca="false">TRIM(Április!A72)</f>
        <v>Különórák, edzések</v>
      </c>
      <c r="H233" s="0" t="str">
        <f aca="false">IF(G233="","",IF(COUNTIF(G$2:G233,G233)=1,MAX(H$1:H232)+1,""))</f>
        <v/>
      </c>
    </row>
    <row r="234" customFormat="false" ht="15" hidden="false" customHeight="false" outlineLevel="0" collapsed="false">
      <c r="G234" s="0" t="str">
        <f aca="false">TRIM(Április!A73)</f>
        <v>Magánóra, korrepetálás</v>
      </c>
      <c r="H234" s="0" t="str">
        <f aca="false">IF(G234="","",IF(COUNTIF(G$2:G234,G234)=1,MAX(H$1:H233)+1,""))</f>
        <v/>
      </c>
    </row>
    <row r="235" customFormat="false" ht="15" hidden="false" customHeight="false" outlineLevel="0" collapsed="false">
      <c r="G235" s="0" t="str">
        <f aca="false">TRIM(Április!A74)</f>
        <v>Zsebpénz</v>
      </c>
      <c r="H235" s="0" t="str">
        <f aca="false">IF(G235="","",IF(COUNTIF(G$2:G235,G235)=1,MAX(H$1:H234)+1,""))</f>
        <v/>
      </c>
    </row>
    <row r="236" customFormat="false" ht="15" hidden="false" customHeight="false" outlineLevel="0" collapsed="false">
      <c r="G236" s="0" t="str">
        <f aca="false">TRIM(Április!A75)</f>
        <v>Játékok, szórakozás</v>
      </c>
      <c r="H236" s="0" t="str">
        <f aca="false">IF(G236="","",IF(COUNTIF(G$2:G236,G236)=1,MAX(H$1:H235)+1,""))</f>
        <v/>
      </c>
    </row>
    <row r="237" customFormat="false" ht="15" hidden="false" customHeight="false" outlineLevel="0" collapsed="false">
      <c r="G237" s="0" t="str">
        <f aca="false">TRIM(Április!A76)</f>
        <v/>
      </c>
      <c r="H237" s="0" t="str">
        <f aca="false">IF(G237="","",IF(COUNTIF(G$2:G237,G237)=1,MAX(H$1:H236)+1,""))</f>
        <v/>
      </c>
    </row>
    <row r="238" customFormat="false" ht="15" hidden="false" customHeight="false" outlineLevel="0" collapsed="false">
      <c r="G238" s="0" t="str">
        <f aca="false">TRIM(Április!A77)</f>
        <v/>
      </c>
      <c r="H238" s="0" t="str">
        <f aca="false">IF(G238="","",IF(COUNTIF(G$2:G238,G238)=1,MAX(H$1:H237)+1,""))</f>
        <v/>
      </c>
    </row>
    <row r="239" customFormat="false" ht="15" hidden="false" customHeight="false" outlineLevel="0" collapsed="false">
      <c r="G239" s="0" t="str">
        <f aca="false">TRIM(Április!A78)</f>
        <v/>
      </c>
      <c r="H239" s="0" t="str">
        <f aca="false">IF(G239="","",IF(COUNTIF(G$2:G239,G239)=1,MAX(H$1:H238)+1,""))</f>
        <v/>
      </c>
    </row>
    <row r="240" customFormat="false" ht="15" hidden="false" customHeight="false" outlineLevel="0" collapsed="false">
      <c r="G240" s="0" t="str">
        <f aca="false">TRIM(Április!A81)</f>
        <v>Ruha</v>
      </c>
      <c r="H240" s="0" t="str">
        <f aca="false">IF(G240="","",IF(COUNTIF(G$2:G240,G240)=1,MAX(H$1:H239)+1,""))</f>
        <v/>
      </c>
    </row>
    <row r="241" customFormat="false" ht="15" hidden="false" customHeight="false" outlineLevel="0" collapsed="false">
      <c r="G241" s="0" t="str">
        <f aca="false">TRIM(Április!A82)</f>
        <v>Cipő</v>
      </c>
      <c r="H241" s="0" t="str">
        <f aca="false">IF(G241="","",IF(COUNTIF(G$2:G241,G241)=1,MAX(H$1:H240)+1,""))</f>
        <v/>
      </c>
    </row>
    <row r="242" customFormat="false" ht="15" hidden="false" customHeight="false" outlineLevel="0" collapsed="false">
      <c r="G242" s="0" t="str">
        <f aca="false">TRIM(Április!A83)</f>
        <v>Kiegészítők (táska, ékszer, óra)</v>
      </c>
      <c r="H242" s="0" t="str">
        <f aca="false">IF(G242="","",IF(COUNTIF(G$2:G242,G242)=1,MAX(H$1:H241)+1,""))</f>
        <v/>
      </c>
    </row>
    <row r="243" customFormat="false" ht="15" hidden="false" customHeight="false" outlineLevel="0" collapsed="false">
      <c r="G243" s="0" t="str">
        <f aca="false">TRIM(Április!A84)</f>
        <v/>
      </c>
      <c r="H243" s="0" t="str">
        <f aca="false">IF(G243="","",IF(COUNTIF(G$2:G243,G243)=1,MAX(H$1:H242)+1,""))</f>
        <v/>
      </c>
    </row>
    <row r="244" customFormat="false" ht="15" hidden="false" customHeight="false" outlineLevel="0" collapsed="false">
      <c r="G244" s="0" t="str">
        <f aca="false">TRIM(Április!A87)</f>
        <v>Fodrász, borbély</v>
      </c>
      <c r="H244" s="0" t="str">
        <f aca="false">IF(G244="","",IF(COUNTIF(G$2:G244,G244)=1,MAX(H$1:H243)+1,""))</f>
        <v/>
      </c>
    </row>
    <row r="245" customFormat="false" ht="15" hidden="false" customHeight="false" outlineLevel="0" collapsed="false">
      <c r="G245" s="0" t="str">
        <f aca="false">TRIM(Április!A88)</f>
        <v>Kozmetikus, manikűr, pedikűr</v>
      </c>
      <c r="H245" s="0" t="str">
        <f aca="false">IF(G245="","",IF(COUNTIF(G$2:G245,G245)=1,MAX(H$1:H244)+1,""))</f>
        <v/>
      </c>
    </row>
    <row r="246" customFormat="false" ht="15" hidden="false" customHeight="false" outlineLevel="0" collapsed="false">
      <c r="G246" s="0" t="str">
        <f aca="false">TRIM(Április!A89)</f>
        <v>Kozmetikumok, parfüm</v>
      </c>
      <c r="H246" s="0" t="str">
        <f aca="false">IF(G246="","",IF(COUNTIF(G$2:G246,G246)=1,MAX(H$1:H245)+1,""))</f>
        <v/>
      </c>
    </row>
    <row r="247" customFormat="false" ht="15" hidden="false" customHeight="false" outlineLevel="0" collapsed="false">
      <c r="G247" s="0" t="str">
        <f aca="false">TRIM(Április!A90)</f>
        <v>Edzés, sport, bérlet</v>
      </c>
      <c r="H247" s="0" t="str">
        <f aca="false">IF(G247="","",IF(COUNTIF(G$2:G247,G247)=1,MAX(H$1:H246)+1,""))</f>
        <v/>
      </c>
    </row>
    <row r="248" customFormat="false" ht="15" hidden="false" customHeight="false" outlineLevel="0" collapsed="false">
      <c r="G248" s="0" t="str">
        <f aca="false">TRIM(Április!A91)</f>
        <v>Gyógyszer, vitamin</v>
      </c>
      <c r="H248" s="0" t="str">
        <f aca="false">IF(G248="","",IF(COUNTIF(G$2:G248,G248)=1,MAX(H$1:H247)+1,""))</f>
        <v/>
      </c>
    </row>
    <row r="249" customFormat="false" ht="15" hidden="false" customHeight="false" outlineLevel="0" collapsed="false">
      <c r="G249" s="0" t="str">
        <f aca="false">TRIM(Április!A92)</f>
        <v>Orvos, fogorvos, magánrendelés</v>
      </c>
      <c r="H249" s="0" t="str">
        <f aca="false">IF(G249="","",IF(COUNTIF(G$2:G249,G249)=1,MAX(H$1:H248)+1,""))</f>
        <v/>
      </c>
    </row>
    <row r="250" customFormat="false" ht="15" hidden="false" customHeight="false" outlineLevel="0" collapsed="false">
      <c r="G250" s="0" t="str">
        <f aca="false">TRIM(Április!A93)</f>
        <v/>
      </c>
      <c r="H250" s="0" t="str">
        <f aca="false">IF(G250="","",IF(COUNTIF(G$2:G250,G250)=1,MAX(H$1:H249)+1,""))</f>
        <v/>
      </c>
    </row>
    <row r="251" customFormat="false" ht="15" hidden="false" customHeight="false" outlineLevel="0" collapsed="false">
      <c r="G251" s="0" t="str">
        <f aca="false">TRIM(Április!A96)</f>
        <v>Cigaretta, dohány</v>
      </c>
      <c r="H251" s="0" t="str">
        <f aca="false">IF(G251="","",IF(COUNTIF(G$2:G251,G251)=1,MAX(H$1:H250)+1,""))</f>
        <v/>
      </c>
    </row>
    <row r="252" customFormat="false" ht="15" hidden="false" customHeight="false" outlineLevel="0" collapsed="false">
      <c r="G252" s="0" t="str">
        <f aca="false">TRIM(Április!A97)</f>
        <v>E-cigaretta, hevített dohánytermék</v>
      </c>
      <c r="H252" s="0" t="str">
        <f aca="false">IF(G252="","",IF(COUNTIF(G$2:G252,G252)=1,MAX(H$1:H251)+1,""))</f>
        <v/>
      </c>
    </row>
    <row r="253" customFormat="false" ht="15" hidden="false" customHeight="false" outlineLevel="0" collapsed="false">
      <c r="G253" s="0" t="str">
        <f aca="false">TRIM(Április!A98)</f>
        <v/>
      </c>
      <c r="H253" s="0" t="str">
        <f aca="false">IF(G253="","",IF(COUNTIF(G$2:G253,G253)=1,MAX(H$1:H252)+1,""))</f>
        <v/>
      </c>
    </row>
    <row r="254" customFormat="false" ht="15" hidden="false" customHeight="false" outlineLevel="0" collapsed="false">
      <c r="G254" s="0" t="str">
        <f aca="false">TRIM(Április!A101)</f>
        <v>Állateledel, jutalomfalat</v>
      </c>
      <c r="H254" s="0" t="str">
        <f aca="false">IF(G254="","",IF(COUNTIF(G$2:G254,G254)=1,MAX(H$1:H253)+1,""))</f>
        <v/>
      </c>
    </row>
    <row r="255" customFormat="false" ht="15" hidden="false" customHeight="false" outlineLevel="0" collapsed="false">
      <c r="G255" s="0" t="str">
        <f aca="false">TRIM(Április!A102)</f>
        <v>Állatorvos, oltások, gyógyszer</v>
      </c>
      <c r="H255" s="0" t="str">
        <f aca="false">IF(G255="","",IF(COUNTIF(G$2:G255,G255)=1,MAX(H$1:H254)+1,""))</f>
        <v/>
      </c>
    </row>
    <row r="256" customFormat="false" ht="15" hidden="false" customHeight="false" outlineLevel="0" collapsed="false">
      <c r="G256" s="0" t="str">
        <f aca="false">TRIM(Április!A103)</f>
        <v>Felszerelés, alom, játékok</v>
      </c>
      <c r="H256" s="0" t="str">
        <f aca="false">IF(G256="","",IF(COUNTIF(G$2:G256,G256)=1,MAX(H$1:H255)+1,""))</f>
        <v/>
      </c>
    </row>
    <row r="257" customFormat="false" ht="15" hidden="false" customHeight="false" outlineLevel="0" collapsed="false">
      <c r="G257" s="0" t="str">
        <f aca="false">TRIM(Április!A104)</f>
        <v>Kisállat-kozmetika, panzió, kutyaiskola</v>
      </c>
      <c r="H257" s="0" t="str">
        <f aca="false">IF(G257="","",IF(COUNTIF(G$2:G257,G257)=1,MAX(H$1:H256)+1,""))</f>
        <v/>
      </c>
    </row>
    <row r="258" customFormat="false" ht="15" hidden="false" customHeight="false" outlineLevel="0" collapsed="false">
      <c r="G258" s="0" t="str">
        <f aca="false">TRIM(Április!A105)</f>
        <v/>
      </c>
      <c r="H258" s="0" t="str">
        <f aca="false">IF(G258="","",IF(COUNTIF(G$2:G258,G258)=1,MAX(H$1:H257)+1,""))</f>
        <v/>
      </c>
    </row>
    <row r="259" customFormat="false" ht="15" hidden="false" customHeight="false" outlineLevel="0" collapsed="false">
      <c r="G259" s="0" t="str">
        <f aca="false">TRIM(Április!A108)</f>
        <v>Hobbi</v>
      </c>
      <c r="H259" s="0" t="str">
        <f aca="false">IF(G259="","",IF(COUNTIF(G$2:G259,G259)=1,MAX(H$1:H258)+1,""))</f>
        <v/>
      </c>
    </row>
    <row r="260" customFormat="false" ht="15" hidden="false" customHeight="false" outlineLevel="0" collapsed="false">
      <c r="G260" s="0" t="str">
        <f aca="false">TRIM(Április!A109)</f>
        <v>Szórakozás (mozi, színház, koncert, étterem)</v>
      </c>
      <c r="H260" s="0" t="str">
        <f aca="false">IF(G260="","",IF(COUNTIF(G$2:G260,G260)=1,MAX(H$1:H259)+1,""))</f>
        <v/>
      </c>
    </row>
    <row r="261" customFormat="false" ht="15" hidden="false" customHeight="false" outlineLevel="0" collapsed="false">
      <c r="G261" s="0" t="str">
        <f aca="false">TRIM(Április!A110)</f>
        <v>Nyaralás, utazás</v>
      </c>
      <c r="H261" s="0" t="str">
        <f aca="false">IF(G261="","",IF(COUNTIF(G$2:G261,G261)=1,MAX(H$1:H260)+1,""))</f>
        <v/>
      </c>
    </row>
    <row r="262" customFormat="false" ht="15" hidden="false" customHeight="false" outlineLevel="0" collapsed="false">
      <c r="G262" s="0" t="str">
        <f aca="false">TRIM(Április!A111)</f>
        <v/>
      </c>
      <c r="H262" s="0" t="str">
        <f aca="false">IF(G262="","",IF(COUNTIF(G$2:G262,G262)=1,MAX(H$1:H261)+1,""))</f>
        <v/>
      </c>
    </row>
    <row r="263" customFormat="false" ht="15" hidden="false" customHeight="false" outlineLevel="0" collapsed="false">
      <c r="G263" s="0" t="str">
        <f aca="false">TRIM(Április!A114)</f>
        <v>Ünnepek, ajándékok</v>
      </c>
      <c r="H263" s="0" t="str">
        <f aca="false">IF(G263="","",IF(COUNTIF(G$2:G263,G263)=1,MAX(H$1:H262)+1,""))</f>
        <v/>
      </c>
    </row>
    <row r="264" customFormat="false" ht="15" hidden="false" customHeight="false" outlineLevel="0" collapsed="false">
      <c r="G264" s="0" t="str">
        <f aca="false">TRIM(Április!A115)</f>
        <v>Egyéb kiadás</v>
      </c>
      <c r="H264" s="0" t="str">
        <f aca="false">IF(G264="","",IF(COUNTIF(G$2:G264,G264)=1,MAX(H$1:H263)+1,""))</f>
        <v/>
      </c>
    </row>
    <row r="265" customFormat="false" ht="15" hidden="false" customHeight="false" outlineLevel="0" collapsed="false">
      <c r="G265" s="0" t="str">
        <f aca="false">TRIM(Április!A116)</f>
        <v/>
      </c>
      <c r="H265" s="0" t="str">
        <f aca="false">IF(G265="","",IF(COUNTIF(G$2:G265,G265)=1,MAX(H$1:H264)+1,""))</f>
        <v/>
      </c>
    </row>
    <row r="266" customFormat="false" ht="15" hidden="false" customHeight="false" outlineLevel="0" collapsed="false">
      <c r="G266" s="0" t="str">
        <f aca="false">TRIM(Május!A31)</f>
        <v>Albérleti díj / lakáshitel</v>
      </c>
      <c r="H266" s="0" t="str">
        <f aca="false">IF(G266="","",IF(COUNTIF(G$2:G266,G266)=1,MAX(H$1:H265)+1,""))</f>
        <v/>
      </c>
    </row>
    <row r="267" customFormat="false" ht="15" hidden="false" customHeight="false" outlineLevel="0" collapsed="false">
      <c r="G267" s="0" t="str">
        <f aca="false">TRIM(Május!A32)</f>
        <v>Rezsi (közművek, közös költség)</v>
      </c>
      <c r="H267" s="0" t="str">
        <f aca="false">IF(G267="","",IF(COUNTIF(G$2:G267,G267)=1,MAX(H$1:H266)+1,""))</f>
        <v/>
      </c>
    </row>
    <row r="268" customFormat="false" ht="15" hidden="false" customHeight="false" outlineLevel="0" collapsed="false">
      <c r="G268" s="0" t="str">
        <f aca="false">TRIM(Május!A33)</f>
        <v>Telefon, internet, digitális előfizetések</v>
      </c>
      <c r="H268" s="0" t="str">
        <f aca="false">IF(G268="","",IF(COUNTIF(G$2:G268,G268)=1,MAX(H$1:H267)+1,""))</f>
        <v/>
      </c>
    </row>
    <row r="269" customFormat="false" ht="15" hidden="false" customHeight="false" outlineLevel="0" collapsed="false">
      <c r="G269" s="0" t="str">
        <f aca="false">TRIM(Május!A34)</f>
        <v/>
      </c>
      <c r="H269" s="0" t="str">
        <f aca="false">IF(G269="","",IF(COUNTIF(G$2:G269,G269)=1,MAX(H$1:H268)+1,""))</f>
        <v/>
      </c>
    </row>
    <row r="270" customFormat="false" ht="15" hidden="false" customHeight="false" outlineLevel="0" collapsed="false">
      <c r="G270" s="0" t="str">
        <f aca="false">TRIM(Május!A37)</f>
        <v>Nagybevásárlások</v>
      </c>
      <c r="H270" s="0" t="str">
        <f aca="false">IF(G270="","",IF(COUNTIF(G$2:G270,G270)=1,MAX(H$1:H269)+1,""))</f>
        <v/>
      </c>
    </row>
    <row r="271" customFormat="false" ht="15" hidden="false" customHeight="false" outlineLevel="0" collapsed="false">
      <c r="G271" s="0" t="str">
        <f aca="false">TRIM(Május!A38)</f>
        <v>Drogéria</v>
      </c>
      <c r="H271" s="0" t="str">
        <f aca="false">IF(G271="","",IF(COUNTIF(G$2:G271,G271)=1,MAX(H$1:H270)+1,""))</f>
        <v/>
      </c>
    </row>
    <row r="272" customFormat="false" ht="15" hidden="false" customHeight="false" outlineLevel="0" collapsed="false">
      <c r="G272" s="0" t="str">
        <f aca="false">TRIM(Május!A39)</f>
        <v>Ételrendelés</v>
      </c>
      <c r="H272" s="0" t="str">
        <f aca="false">IF(G272="","",IF(COUNTIF(G$2:G272,G272)=1,MAX(H$1:H271)+1,""))</f>
        <v/>
      </c>
    </row>
    <row r="273" customFormat="false" ht="15" hidden="false" customHeight="false" outlineLevel="0" collapsed="false">
      <c r="G273" s="0" t="str">
        <f aca="false">TRIM(Május!A40)</f>
        <v>Egyéb élelmiszer, bevásárlás</v>
      </c>
      <c r="H273" s="0" t="str">
        <f aca="false">IF(G273="","",IF(COUNTIF(G$2:G273,G273)=1,MAX(H$1:H272)+1,""))</f>
        <v/>
      </c>
    </row>
    <row r="274" customFormat="false" ht="15" hidden="false" customHeight="false" outlineLevel="0" collapsed="false">
      <c r="G274" s="0" t="str">
        <f aca="false">TRIM(Május!A41)</f>
        <v/>
      </c>
      <c r="H274" s="0" t="str">
        <f aca="false">IF(G274="","",IF(COUNTIF(G$2:G274,G274)=1,MAX(H$1:H273)+1,""))</f>
        <v/>
      </c>
    </row>
    <row r="275" customFormat="false" ht="15" hidden="false" customHeight="false" outlineLevel="0" collapsed="false">
      <c r="G275" s="0" t="str">
        <f aca="false">TRIM(Május!A44)</f>
        <v>Lakásbiztosítás</v>
      </c>
      <c r="H275" s="0" t="str">
        <f aca="false">IF(G275="","",IF(COUNTIF(G$2:G275,G275)=1,MAX(H$1:H274)+1,""))</f>
        <v/>
      </c>
    </row>
    <row r="276" customFormat="false" ht="15" hidden="false" customHeight="false" outlineLevel="0" collapsed="false">
      <c r="G276" s="0" t="str">
        <f aca="false">TRIM(Május!A45)</f>
        <v>Életbiztosítás</v>
      </c>
      <c r="H276" s="0" t="str">
        <f aca="false">IF(G276="","",IF(COUNTIF(G$2:G276,G276)=1,MAX(H$1:H275)+1,""))</f>
        <v/>
      </c>
    </row>
    <row r="277" customFormat="false" ht="15" hidden="false" customHeight="false" outlineLevel="0" collapsed="false">
      <c r="G277" s="0" t="str">
        <f aca="false">TRIM(Május!A46)</f>
        <v>Baleset- és betegségbiztosítás</v>
      </c>
      <c r="H277" s="0" t="str">
        <f aca="false">IF(G277="","",IF(COUNTIF(G$2:G277,G277)=1,MAX(H$1:H276)+1,""))</f>
        <v/>
      </c>
    </row>
    <row r="278" customFormat="false" ht="15" hidden="false" customHeight="false" outlineLevel="0" collapsed="false">
      <c r="G278" s="0" t="str">
        <f aca="false">TRIM(Május!A47)</f>
        <v>Egészségbiztosítás</v>
      </c>
      <c r="H278" s="0" t="str">
        <f aca="false">IF(G278="","",IF(COUNTIF(G$2:G278,G278)=1,MAX(H$1:H277)+1,""))</f>
        <v/>
      </c>
    </row>
    <row r="279" customFormat="false" ht="15" hidden="false" customHeight="false" outlineLevel="0" collapsed="false">
      <c r="G279" s="0" t="str">
        <f aca="false">TRIM(Május!A48)</f>
        <v>Hiteltörlesztés</v>
      </c>
      <c r="H279" s="0" t="str">
        <f aca="false">IF(G279="","",IF(COUNTIF(G$2:G279,G279)=1,MAX(H$1:H278)+1,""))</f>
        <v/>
      </c>
    </row>
    <row r="280" customFormat="false" ht="15" hidden="false" customHeight="false" outlineLevel="0" collapsed="false">
      <c r="G280" s="0" t="str">
        <f aca="false">TRIM(Május!A49)</f>
        <v>Egyéb szerződés</v>
      </c>
      <c r="H280" s="0" t="str">
        <f aca="false">IF(G280="","",IF(COUNTIF(G$2:G280,G280)=1,MAX(H$1:H279)+1,""))</f>
        <v/>
      </c>
    </row>
    <row r="281" customFormat="false" ht="15" hidden="false" customHeight="false" outlineLevel="0" collapsed="false">
      <c r="G281" s="0" t="str">
        <f aca="false">TRIM(Május!A50)</f>
        <v/>
      </c>
      <c r="H281" s="0" t="str">
        <f aca="false">IF(G281="","",IF(COUNTIF(G$2:G281,G281)=1,MAX(H$1:H280)+1,""))</f>
        <v/>
      </c>
    </row>
    <row r="282" customFormat="false" ht="15" hidden="false" customHeight="false" outlineLevel="0" collapsed="false">
      <c r="G282" s="0" t="str">
        <f aca="false">TRIM(Május!A51)</f>
        <v/>
      </c>
      <c r="H282" s="0" t="str">
        <f aca="false">IF(G282="","",IF(COUNTIF(G$2:G282,G282)=1,MAX(H$1:H281)+1,""))</f>
        <v/>
      </c>
    </row>
    <row r="283" customFormat="false" ht="15" hidden="false" customHeight="false" outlineLevel="0" collapsed="false">
      <c r="G283" s="0" t="str">
        <f aca="false">TRIM(Május!A54)</f>
        <v>Üzemanyag, elektromos töltés</v>
      </c>
      <c r="H283" s="0" t="str">
        <f aca="false">IF(G283="","",IF(COUNTIF(G$2:G283,G283)=1,MAX(H$1:H282)+1,""))</f>
        <v/>
      </c>
    </row>
    <row r="284" customFormat="false" ht="15" hidden="false" customHeight="false" outlineLevel="0" collapsed="false">
      <c r="G284" s="0" t="str">
        <f aca="false">TRIM(Május!A55)</f>
        <v>Parkolás, útdíj, autópálya-matrica</v>
      </c>
      <c r="H284" s="0" t="str">
        <f aca="false">IF(G284="","",IF(COUNTIF(G$2:G284,G284)=1,MAX(H$1:H283)+1,""))</f>
        <v/>
      </c>
    </row>
    <row r="285" customFormat="false" ht="15" hidden="false" customHeight="false" outlineLevel="0" collapsed="false">
      <c r="G285" s="0" t="str">
        <f aca="false">TRIM(Május!A56)</f>
        <v>Szerviz, karbantartás, gumicsere</v>
      </c>
      <c r="H285" s="0" t="str">
        <f aca="false">IF(G285="","",IF(COUNTIF(G$2:G285,G285)=1,MAX(H$1:H284)+1,""))</f>
        <v/>
      </c>
    </row>
    <row r="286" customFormat="false" ht="15" hidden="false" customHeight="false" outlineLevel="0" collapsed="false">
      <c r="G286" s="0" t="str">
        <f aca="false">TRIM(Május!A57)</f>
        <v>KGFB (kötelező biztosítás)</v>
      </c>
      <c r="H286" s="0" t="str">
        <f aca="false">IF(G286="","",IF(COUNTIF(G$2:G286,G286)=1,MAX(H$1:H285)+1,""))</f>
        <v/>
      </c>
    </row>
    <row r="287" customFormat="false" ht="15" hidden="false" customHeight="false" outlineLevel="0" collapsed="false">
      <c r="G287" s="0" t="str">
        <f aca="false">TRIM(Május!A58)</f>
        <v>CASCO</v>
      </c>
      <c r="H287" s="0" t="str">
        <f aca="false">IF(G287="","",IF(COUNTIF(G$2:G287,G287)=1,MAX(H$1:H286)+1,""))</f>
        <v/>
      </c>
    </row>
    <row r="288" customFormat="false" ht="15" hidden="false" customHeight="false" outlineLevel="0" collapsed="false">
      <c r="G288" s="0" t="str">
        <f aca="false">TRIM(Május!A59)</f>
        <v>Gépjárműadó</v>
      </c>
      <c r="H288" s="0" t="str">
        <f aca="false">IF(G288="","",IF(COUNTIF(G$2:G288,G288)=1,MAX(H$1:H287)+1,""))</f>
        <v/>
      </c>
    </row>
    <row r="289" customFormat="false" ht="15" hidden="false" customHeight="false" outlineLevel="0" collapsed="false">
      <c r="G289" s="0" t="str">
        <f aca="false">TRIM(Május!A60)</f>
        <v>Autóhitel, lízing részlet</v>
      </c>
      <c r="H289" s="0" t="str">
        <f aca="false">IF(G289="","",IF(COUNTIF(G$2:G289,G289)=1,MAX(H$1:H288)+1,""))</f>
        <v/>
      </c>
    </row>
    <row r="290" customFormat="false" ht="15" hidden="false" customHeight="false" outlineLevel="0" collapsed="false">
      <c r="G290" s="0" t="str">
        <f aca="false">TRIM(Május!A61)</f>
        <v>Autómosás, egyéb autós költség</v>
      </c>
      <c r="H290" s="0" t="str">
        <f aca="false">IF(G290="","",IF(COUNTIF(G$2:G290,G290)=1,MAX(H$1:H289)+1,""))</f>
        <v/>
      </c>
    </row>
    <row r="291" customFormat="false" ht="15" hidden="false" customHeight="false" outlineLevel="0" collapsed="false">
      <c r="G291" s="0" t="str">
        <f aca="false">TRIM(Május!A62)</f>
        <v>Tömegközlekedés, bérlet</v>
      </c>
      <c r="H291" s="0" t="str">
        <f aca="false">IF(G291="","",IF(COUNTIF(G$2:G291,G291)=1,MAX(H$1:H290)+1,""))</f>
        <v/>
      </c>
    </row>
    <row r="292" customFormat="false" ht="15" hidden="false" customHeight="false" outlineLevel="0" collapsed="false">
      <c r="G292" s="0" t="str">
        <f aca="false">TRIM(Május!A63)</f>
        <v>Taxi, roller, bicikli, közösségi közlekedés</v>
      </c>
      <c r="H292" s="0" t="str">
        <f aca="false">IF(G292="","",IF(COUNTIF(G$2:G292,G292)=1,MAX(H$1:H291)+1,""))</f>
        <v/>
      </c>
    </row>
    <row r="293" customFormat="false" ht="15" hidden="false" customHeight="false" outlineLevel="0" collapsed="false">
      <c r="G293" s="0" t="str">
        <f aca="false">TRIM(Május!A64)</f>
        <v/>
      </c>
      <c r="H293" s="0" t="str">
        <f aca="false">IF(G293="","",IF(COUNTIF(G$2:G293,G293)=1,MAX(H$1:H292)+1,""))</f>
        <v/>
      </c>
    </row>
    <row r="294" customFormat="false" ht="15" hidden="false" customHeight="false" outlineLevel="0" collapsed="false">
      <c r="G294" s="0" t="str">
        <f aca="false">TRIM(Május!A65)</f>
        <v/>
      </c>
      <c r="H294" s="0" t="str">
        <f aca="false">IF(G294="","",IF(COUNTIF(G$2:G294,G294)=1,MAX(H$1:H293)+1,""))</f>
        <v/>
      </c>
    </row>
    <row r="295" customFormat="false" ht="15" hidden="false" customHeight="false" outlineLevel="0" collapsed="false">
      <c r="G295" s="0" t="str">
        <f aca="false">TRIM(Május!A68)</f>
        <v>Gyerek ruha, cipő</v>
      </c>
      <c r="H295" s="0" t="str">
        <f aca="false">IF(G295="","",IF(COUNTIF(G$2:G295,G295)=1,MAX(H$1:H294)+1,""))</f>
        <v/>
      </c>
    </row>
    <row r="296" customFormat="false" ht="15" hidden="false" customHeight="false" outlineLevel="0" collapsed="false">
      <c r="G296" s="0" t="str">
        <f aca="false">TRIM(Május!A69)</f>
        <v>Gyerek étkeztetés (menza)</v>
      </c>
      <c r="H296" s="0" t="str">
        <f aca="false">IF(G296="","",IF(COUNTIF(G$2:G296,G296)=1,MAX(H$1:H295)+1,""))</f>
        <v/>
      </c>
    </row>
    <row r="297" customFormat="false" ht="15" hidden="false" customHeight="false" outlineLevel="0" collapsed="false">
      <c r="G297" s="0" t="str">
        <f aca="false">TRIM(Május!A70)</f>
        <v>Bölcsőde, óvoda, iskola díjai</v>
      </c>
      <c r="H297" s="0" t="str">
        <f aca="false">IF(G297="","",IF(COUNTIF(G$2:G297,G297)=1,MAX(H$1:H296)+1,""))</f>
        <v/>
      </c>
    </row>
    <row r="298" customFormat="false" ht="15" hidden="false" customHeight="false" outlineLevel="0" collapsed="false">
      <c r="G298" s="0" t="str">
        <f aca="false">TRIM(Május!A71)</f>
        <v>Tankönyv, tanszer</v>
      </c>
      <c r="H298" s="0" t="str">
        <f aca="false">IF(G298="","",IF(COUNTIF(G$2:G298,G298)=1,MAX(H$1:H297)+1,""))</f>
        <v/>
      </c>
    </row>
    <row r="299" customFormat="false" ht="15" hidden="false" customHeight="false" outlineLevel="0" collapsed="false">
      <c r="G299" s="0" t="str">
        <f aca="false">TRIM(Május!A72)</f>
        <v>Különórák, edzések</v>
      </c>
      <c r="H299" s="0" t="str">
        <f aca="false">IF(G299="","",IF(COUNTIF(G$2:G299,G299)=1,MAX(H$1:H298)+1,""))</f>
        <v/>
      </c>
    </row>
    <row r="300" customFormat="false" ht="15" hidden="false" customHeight="false" outlineLevel="0" collapsed="false">
      <c r="G300" s="0" t="str">
        <f aca="false">TRIM(Május!A73)</f>
        <v>Magánóra, korrepetálás</v>
      </c>
      <c r="H300" s="0" t="str">
        <f aca="false">IF(G300="","",IF(COUNTIF(G$2:G300,G300)=1,MAX(H$1:H299)+1,""))</f>
        <v/>
      </c>
    </row>
    <row r="301" customFormat="false" ht="15" hidden="false" customHeight="false" outlineLevel="0" collapsed="false">
      <c r="G301" s="0" t="str">
        <f aca="false">TRIM(Május!A74)</f>
        <v>Zsebpénz</v>
      </c>
      <c r="H301" s="0" t="str">
        <f aca="false">IF(G301="","",IF(COUNTIF(G$2:G301,G301)=1,MAX(H$1:H300)+1,""))</f>
        <v/>
      </c>
    </row>
    <row r="302" customFormat="false" ht="15" hidden="false" customHeight="false" outlineLevel="0" collapsed="false">
      <c r="G302" s="0" t="str">
        <f aca="false">TRIM(Május!A75)</f>
        <v>Játékok, szórakozás</v>
      </c>
      <c r="H302" s="0" t="str">
        <f aca="false">IF(G302="","",IF(COUNTIF(G$2:G302,G302)=1,MAX(H$1:H301)+1,""))</f>
        <v/>
      </c>
    </row>
    <row r="303" customFormat="false" ht="15" hidden="false" customHeight="false" outlineLevel="0" collapsed="false">
      <c r="G303" s="0" t="str">
        <f aca="false">TRIM(Május!A76)</f>
        <v/>
      </c>
      <c r="H303" s="0" t="str">
        <f aca="false">IF(G303="","",IF(COUNTIF(G$2:G303,G303)=1,MAX(H$1:H302)+1,""))</f>
        <v/>
      </c>
    </row>
    <row r="304" customFormat="false" ht="15" hidden="false" customHeight="false" outlineLevel="0" collapsed="false">
      <c r="G304" s="0" t="str">
        <f aca="false">TRIM(Május!A77)</f>
        <v/>
      </c>
      <c r="H304" s="0" t="str">
        <f aca="false">IF(G304="","",IF(COUNTIF(G$2:G304,G304)=1,MAX(H$1:H303)+1,""))</f>
        <v/>
      </c>
    </row>
    <row r="305" customFormat="false" ht="15" hidden="false" customHeight="false" outlineLevel="0" collapsed="false">
      <c r="G305" s="0" t="str">
        <f aca="false">TRIM(Május!A78)</f>
        <v/>
      </c>
      <c r="H305" s="0" t="str">
        <f aca="false">IF(G305="","",IF(COUNTIF(G$2:G305,G305)=1,MAX(H$1:H304)+1,""))</f>
        <v/>
      </c>
    </row>
    <row r="306" customFormat="false" ht="15" hidden="false" customHeight="false" outlineLevel="0" collapsed="false">
      <c r="G306" s="0" t="str">
        <f aca="false">TRIM(Május!A81)</f>
        <v>Ruha</v>
      </c>
      <c r="H306" s="0" t="str">
        <f aca="false">IF(G306="","",IF(COUNTIF(G$2:G306,G306)=1,MAX(H$1:H305)+1,""))</f>
        <v/>
      </c>
    </row>
    <row r="307" customFormat="false" ht="15" hidden="false" customHeight="false" outlineLevel="0" collapsed="false">
      <c r="G307" s="0" t="str">
        <f aca="false">TRIM(Május!A82)</f>
        <v>Cipő</v>
      </c>
      <c r="H307" s="0" t="str">
        <f aca="false">IF(G307="","",IF(COUNTIF(G$2:G307,G307)=1,MAX(H$1:H306)+1,""))</f>
        <v/>
      </c>
    </row>
    <row r="308" customFormat="false" ht="15" hidden="false" customHeight="false" outlineLevel="0" collapsed="false">
      <c r="G308" s="0" t="str">
        <f aca="false">TRIM(Május!A83)</f>
        <v>Kiegészítők (táska, ékszer, óra)</v>
      </c>
      <c r="H308" s="0" t="str">
        <f aca="false">IF(G308="","",IF(COUNTIF(G$2:G308,G308)=1,MAX(H$1:H307)+1,""))</f>
        <v/>
      </c>
    </row>
    <row r="309" customFormat="false" ht="15" hidden="false" customHeight="false" outlineLevel="0" collapsed="false">
      <c r="G309" s="0" t="str">
        <f aca="false">TRIM(Május!A84)</f>
        <v/>
      </c>
      <c r="H309" s="0" t="str">
        <f aca="false">IF(G309="","",IF(COUNTIF(G$2:G309,G309)=1,MAX(H$1:H308)+1,""))</f>
        <v/>
      </c>
    </row>
    <row r="310" customFormat="false" ht="15" hidden="false" customHeight="false" outlineLevel="0" collapsed="false">
      <c r="G310" s="0" t="str">
        <f aca="false">TRIM(Május!A87)</f>
        <v>Fodrász, borbély</v>
      </c>
      <c r="H310" s="0" t="str">
        <f aca="false">IF(G310="","",IF(COUNTIF(G$2:G310,G310)=1,MAX(H$1:H309)+1,""))</f>
        <v/>
      </c>
    </row>
    <row r="311" customFormat="false" ht="15" hidden="false" customHeight="false" outlineLevel="0" collapsed="false">
      <c r="G311" s="0" t="str">
        <f aca="false">TRIM(Május!A88)</f>
        <v>Kozmetikus, manikűr, pedikűr</v>
      </c>
      <c r="H311" s="0" t="str">
        <f aca="false">IF(G311="","",IF(COUNTIF(G$2:G311,G311)=1,MAX(H$1:H310)+1,""))</f>
        <v/>
      </c>
    </row>
    <row r="312" customFormat="false" ht="15" hidden="false" customHeight="false" outlineLevel="0" collapsed="false">
      <c r="G312" s="0" t="str">
        <f aca="false">TRIM(Május!A89)</f>
        <v>Kozmetikumok, parfüm</v>
      </c>
      <c r="H312" s="0" t="str">
        <f aca="false">IF(G312="","",IF(COUNTIF(G$2:G312,G312)=1,MAX(H$1:H311)+1,""))</f>
        <v/>
      </c>
    </row>
    <row r="313" customFormat="false" ht="15" hidden="false" customHeight="false" outlineLevel="0" collapsed="false">
      <c r="G313" s="0" t="str">
        <f aca="false">TRIM(Május!A90)</f>
        <v>Edzés, sport, bérlet</v>
      </c>
      <c r="H313" s="0" t="str">
        <f aca="false">IF(G313="","",IF(COUNTIF(G$2:G313,G313)=1,MAX(H$1:H312)+1,""))</f>
        <v/>
      </c>
    </row>
    <row r="314" customFormat="false" ht="15" hidden="false" customHeight="false" outlineLevel="0" collapsed="false">
      <c r="G314" s="0" t="str">
        <f aca="false">TRIM(Május!A91)</f>
        <v>Gyógyszer, vitamin</v>
      </c>
      <c r="H314" s="0" t="str">
        <f aca="false">IF(G314="","",IF(COUNTIF(G$2:G314,G314)=1,MAX(H$1:H313)+1,""))</f>
        <v/>
      </c>
    </row>
    <row r="315" customFormat="false" ht="15" hidden="false" customHeight="false" outlineLevel="0" collapsed="false">
      <c r="G315" s="0" t="str">
        <f aca="false">TRIM(Május!A92)</f>
        <v>Orvos, fogorvos, magánrendelés</v>
      </c>
      <c r="H315" s="0" t="str">
        <f aca="false">IF(G315="","",IF(COUNTIF(G$2:G315,G315)=1,MAX(H$1:H314)+1,""))</f>
        <v/>
      </c>
    </row>
    <row r="316" customFormat="false" ht="15" hidden="false" customHeight="false" outlineLevel="0" collapsed="false">
      <c r="G316" s="0" t="str">
        <f aca="false">TRIM(Május!A93)</f>
        <v/>
      </c>
      <c r="H316" s="0" t="str">
        <f aca="false">IF(G316="","",IF(COUNTIF(G$2:G316,G316)=1,MAX(H$1:H315)+1,""))</f>
        <v/>
      </c>
    </row>
    <row r="317" customFormat="false" ht="15" hidden="false" customHeight="false" outlineLevel="0" collapsed="false">
      <c r="G317" s="0" t="str">
        <f aca="false">TRIM(Május!A96)</f>
        <v>Cigaretta, dohány</v>
      </c>
      <c r="H317" s="0" t="str">
        <f aca="false">IF(G317="","",IF(COUNTIF(G$2:G317,G317)=1,MAX(H$1:H316)+1,""))</f>
        <v/>
      </c>
    </row>
    <row r="318" customFormat="false" ht="15" hidden="false" customHeight="false" outlineLevel="0" collapsed="false">
      <c r="G318" s="0" t="str">
        <f aca="false">TRIM(Május!A97)</f>
        <v>E-cigaretta, hevített dohánytermék</v>
      </c>
      <c r="H318" s="0" t="str">
        <f aca="false">IF(G318="","",IF(COUNTIF(G$2:G318,G318)=1,MAX(H$1:H317)+1,""))</f>
        <v/>
      </c>
    </row>
    <row r="319" customFormat="false" ht="15" hidden="false" customHeight="false" outlineLevel="0" collapsed="false">
      <c r="G319" s="0" t="str">
        <f aca="false">TRIM(Május!A98)</f>
        <v/>
      </c>
      <c r="H319" s="0" t="str">
        <f aca="false">IF(G319="","",IF(COUNTIF(G$2:G319,G319)=1,MAX(H$1:H318)+1,""))</f>
        <v/>
      </c>
    </row>
    <row r="320" customFormat="false" ht="15" hidden="false" customHeight="false" outlineLevel="0" collapsed="false">
      <c r="G320" s="0" t="str">
        <f aca="false">TRIM(Május!A101)</f>
        <v>Állateledel, jutalomfalat</v>
      </c>
      <c r="H320" s="0" t="str">
        <f aca="false">IF(G320="","",IF(COUNTIF(G$2:G320,G320)=1,MAX(H$1:H319)+1,""))</f>
        <v/>
      </c>
    </row>
    <row r="321" customFormat="false" ht="15" hidden="false" customHeight="false" outlineLevel="0" collapsed="false">
      <c r="G321" s="0" t="str">
        <f aca="false">TRIM(Május!A102)</f>
        <v>Állatorvos, oltások, gyógyszer</v>
      </c>
      <c r="H321" s="0" t="str">
        <f aca="false">IF(G321="","",IF(COUNTIF(G$2:G321,G321)=1,MAX(H$1:H320)+1,""))</f>
        <v/>
      </c>
    </row>
    <row r="322" customFormat="false" ht="15" hidden="false" customHeight="false" outlineLevel="0" collapsed="false">
      <c r="G322" s="0" t="str">
        <f aca="false">TRIM(Május!A103)</f>
        <v>Felszerelés, alom, játékok</v>
      </c>
      <c r="H322" s="0" t="str">
        <f aca="false">IF(G322="","",IF(COUNTIF(G$2:G322,G322)=1,MAX(H$1:H321)+1,""))</f>
        <v/>
      </c>
    </row>
    <row r="323" customFormat="false" ht="15" hidden="false" customHeight="false" outlineLevel="0" collapsed="false">
      <c r="G323" s="0" t="str">
        <f aca="false">TRIM(Május!A104)</f>
        <v>Kisállat-kozmetika, panzió, kutyaiskola</v>
      </c>
      <c r="H323" s="0" t="str">
        <f aca="false">IF(G323="","",IF(COUNTIF(G$2:G323,G323)=1,MAX(H$1:H322)+1,""))</f>
        <v/>
      </c>
    </row>
    <row r="324" customFormat="false" ht="15" hidden="false" customHeight="false" outlineLevel="0" collapsed="false">
      <c r="G324" s="0" t="str">
        <f aca="false">TRIM(Május!A105)</f>
        <v/>
      </c>
      <c r="H324" s="0" t="str">
        <f aca="false">IF(G324="","",IF(COUNTIF(G$2:G324,G324)=1,MAX(H$1:H323)+1,""))</f>
        <v/>
      </c>
    </row>
    <row r="325" customFormat="false" ht="15" hidden="false" customHeight="false" outlineLevel="0" collapsed="false">
      <c r="G325" s="0" t="str">
        <f aca="false">TRIM(Május!A108)</f>
        <v>Hobbi</v>
      </c>
      <c r="H325" s="0" t="str">
        <f aca="false">IF(G325="","",IF(COUNTIF(G$2:G325,G325)=1,MAX(H$1:H324)+1,""))</f>
        <v/>
      </c>
    </row>
    <row r="326" customFormat="false" ht="15" hidden="false" customHeight="false" outlineLevel="0" collapsed="false">
      <c r="G326" s="0" t="str">
        <f aca="false">TRIM(Május!A109)</f>
        <v>Szórakozás (mozi, színház, koncert, étterem)</v>
      </c>
      <c r="H326" s="0" t="str">
        <f aca="false">IF(G326="","",IF(COUNTIF(G$2:G326,G326)=1,MAX(H$1:H325)+1,""))</f>
        <v/>
      </c>
    </row>
    <row r="327" customFormat="false" ht="15" hidden="false" customHeight="false" outlineLevel="0" collapsed="false">
      <c r="G327" s="0" t="str">
        <f aca="false">TRIM(Május!A110)</f>
        <v>Nyaralás, utazás</v>
      </c>
      <c r="H327" s="0" t="str">
        <f aca="false">IF(G327="","",IF(COUNTIF(G$2:G327,G327)=1,MAX(H$1:H326)+1,""))</f>
        <v/>
      </c>
    </row>
    <row r="328" customFormat="false" ht="15" hidden="false" customHeight="false" outlineLevel="0" collapsed="false">
      <c r="G328" s="0" t="str">
        <f aca="false">TRIM(Május!A111)</f>
        <v/>
      </c>
      <c r="H328" s="0" t="str">
        <f aca="false">IF(G328="","",IF(COUNTIF(G$2:G328,G328)=1,MAX(H$1:H327)+1,""))</f>
        <v/>
      </c>
    </row>
    <row r="329" customFormat="false" ht="15" hidden="false" customHeight="false" outlineLevel="0" collapsed="false">
      <c r="G329" s="0" t="str">
        <f aca="false">TRIM(Május!A114)</f>
        <v>Ünnepek, ajándékok</v>
      </c>
      <c r="H329" s="0" t="str">
        <f aca="false">IF(G329="","",IF(COUNTIF(G$2:G329,G329)=1,MAX(H$1:H328)+1,""))</f>
        <v/>
      </c>
    </row>
    <row r="330" customFormat="false" ht="15" hidden="false" customHeight="false" outlineLevel="0" collapsed="false">
      <c r="G330" s="0" t="str">
        <f aca="false">TRIM(Május!A115)</f>
        <v>Egyéb kiadás</v>
      </c>
      <c r="H330" s="0" t="str">
        <f aca="false">IF(G330="","",IF(COUNTIF(G$2:G330,G330)=1,MAX(H$1:H329)+1,""))</f>
        <v/>
      </c>
    </row>
    <row r="331" customFormat="false" ht="15" hidden="false" customHeight="false" outlineLevel="0" collapsed="false">
      <c r="G331" s="0" t="str">
        <f aca="false">TRIM(Május!A116)</f>
        <v/>
      </c>
      <c r="H331" s="0" t="str">
        <f aca="false">IF(G331="","",IF(COUNTIF(G$2:G331,G331)=1,MAX(H$1:H330)+1,""))</f>
        <v/>
      </c>
    </row>
    <row r="332" customFormat="false" ht="15" hidden="false" customHeight="false" outlineLevel="0" collapsed="false">
      <c r="G332" s="0" t="str">
        <f aca="false">TRIM(Június!A31)</f>
        <v>Albérleti díj / lakáshitel</v>
      </c>
      <c r="H332" s="0" t="str">
        <f aca="false">IF(G332="","",IF(COUNTIF(G$2:G332,G332)=1,MAX(H$1:H331)+1,""))</f>
        <v/>
      </c>
    </row>
    <row r="333" customFormat="false" ht="15" hidden="false" customHeight="false" outlineLevel="0" collapsed="false">
      <c r="G333" s="0" t="str">
        <f aca="false">TRIM(Június!A32)</f>
        <v>Rezsi (közművek, közös költség)</v>
      </c>
      <c r="H333" s="0" t="str">
        <f aca="false">IF(G333="","",IF(COUNTIF(G$2:G333,G333)=1,MAX(H$1:H332)+1,""))</f>
        <v/>
      </c>
    </row>
    <row r="334" customFormat="false" ht="15" hidden="false" customHeight="false" outlineLevel="0" collapsed="false">
      <c r="G334" s="0" t="str">
        <f aca="false">TRIM(Június!A33)</f>
        <v>Telefon, internet, digitális előfizetések</v>
      </c>
      <c r="H334" s="0" t="str">
        <f aca="false">IF(G334="","",IF(COUNTIF(G$2:G334,G334)=1,MAX(H$1:H333)+1,""))</f>
        <v/>
      </c>
    </row>
    <row r="335" customFormat="false" ht="15" hidden="false" customHeight="false" outlineLevel="0" collapsed="false">
      <c r="G335" s="0" t="str">
        <f aca="false">TRIM(Június!A34)</f>
        <v/>
      </c>
      <c r="H335" s="0" t="str">
        <f aca="false">IF(G335="","",IF(COUNTIF(G$2:G335,G335)=1,MAX(H$1:H334)+1,""))</f>
        <v/>
      </c>
    </row>
    <row r="336" customFormat="false" ht="15" hidden="false" customHeight="false" outlineLevel="0" collapsed="false">
      <c r="G336" s="0" t="str">
        <f aca="false">TRIM(Június!A37)</f>
        <v>Nagybevásárlások</v>
      </c>
      <c r="H336" s="0" t="str">
        <f aca="false">IF(G336="","",IF(COUNTIF(G$2:G336,G336)=1,MAX(H$1:H335)+1,""))</f>
        <v/>
      </c>
    </row>
    <row r="337" customFormat="false" ht="15" hidden="false" customHeight="false" outlineLevel="0" collapsed="false">
      <c r="G337" s="0" t="str">
        <f aca="false">TRIM(Június!A38)</f>
        <v>Drogéria</v>
      </c>
      <c r="H337" s="0" t="str">
        <f aca="false">IF(G337="","",IF(COUNTIF(G$2:G337,G337)=1,MAX(H$1:H336)+1,""))</f>
        <v/>
      </c>
    </row>
    <row r="338" customFormat="false" ht="15" hidden="false" customHeight="false" outlineLevel="0" collapsed="false">
      <c r="G338" s="0" t="str">
        <f aca="false">TRIM(Június!A39)</f>
        <v>Ételrendelés</v>
      </c>
      <c r="H338" s="0" t="str">
        <f aca="false">IF(G338="","",IF(COUNTIF(G$2:G338,G338)=1,MAX(H$1:H337)+1,""))</f>
        <v/>
      </c>
    </row>
    <row r="339" customFormat="false" ht="15" hidden="false" customHeight="false" outlineLevel="0" collapsed="false">
      <c r="G339" s="0" t="str">
        <f aca="false">TRIM(Június!A40)</f>
        <v>Egyéb élelmiszer, bevásárlás</v>
      </c>
      <c r="H339" s="0" t="str">
        <f aca="false">IF(G339="","",IF(COUNTIF(G$2:G339,G339)=1,MAX(H$1:H338)+1,""))</f>
        <v/>
      </c>
    </row>
    <row r="340" customFormat="false" ht="15" hidden="false" customHeight="false" outlineLevel="0" collapsed="false">
      <c r="G340" s="0" t="str">
        <f aca="false">TRIM(Június!A41)</f>
        <v/>
      </c>
      <c r="H340" s="0" t="str">
        <f aca="false">IF(G340="","",IF(COUNTIF(G$2:G340,G340)=1,MAX(H$1:H339)+1,""))</f>
        <v/>
      </c>
    </row>
    <row r="341" customFormat="false" ht="15" hidden="false" customHeight="false" outlineLevel="0" collapsed="false">
      <c r="G341" s="0" t="str">
        <f aca="false">TRIM(Június!A44)</f>
        <v>Lakásbiztosítás</v>
      </c>
      <c r="H341" s="0" t="str">
        <f aca="false">IF(G341="","",IF(COUNTIF(G$2:G341,G341)=1,MAX(H$1:H340)+1,""))</f>
        <v/>
      </c>
    </row>
    <row r="342" customFormat="false" ht="15" hidden="false" customHeight="false" outlineLevel="0" collapsed="false">
      <c r="G342" s="0" t="str">
        <f aca="false">TRIM(Június!A45)</f>
        <v>Életbiztosítás</v>
      </c>
      <c r="H342" s="0" t="str">
        <f aca="false">IF(G342="","",IF(COUNTIF(G$2:G342,G342)=1,MAX(H$1:H341)+1,""))</f>
        <v/>
      </c>
    </row>
    <row r="343" customFormat="false" ht="15" hidden="false" customHeight="false" outlineLevel="0" collapsed="false">
      <c r="G343" s="0" t="str">
        <f aca="false">TRIM(Június!A46)</f>
        <v>Baleset- és betegségbiztosítás</v>
      </c>
      <c r="H343" s="0" t="str">
        <f aca="false">IF(G343="","",IF(COUNTIF(G$2:G343,G343)=1,MAX(H$1:H342)+1,""))</f>
        <v/>
      </c>
    </row>
    <row r="344" customFormat="false" ht="15" hidden="false" customHeight="false" outlineLevel="0" collapsed="false">
      <c r="G344" s="0" t="str">
        <f aca="false">TRIM(Június!A47)</f>
        <v>Egészségbiztosítás</v>
      </c>
      <c r="H344" s="0" t="str">
        <f aca="false">IF(G344="","",IF(COUNTIF(G$2:G344,G344)=1,MAX(H$1:H343)+1,""))</f>
        <v/>
      </c>
    </row>
    <row r="345" customFormat="false" ht="15" hidden="false" customHeight="false" outlineLevel="0" collapsed="false">
      <c r="G345" s="0" t="str">
        <f aca="false">TRIM(Június!A48)</f>
        <v>Hiteltörlesztés</v>
      </c>
      <c r="H345" s="0" t="str">
        <f aca="false">IF(G345="","",IF(COUNTIF(G$2:G345,G345)=1,MAX(H$1:H344)+1,""))</f>
        <v/>
      </c>
    </row>
    <row r="346" customFormat="false" ht="15" hidden="false" customHeight="false" outlineLevel="0" collapsed="false">
      <c r="G346" s="0" t="str">
        <f aca="false">TRIM(Június!A49)</f>
        <v>Egyéb szerződés</v>
      </c>
      <c r="H346" s="0" t="str">
        <f aca="false">IF(G346="","",IF(COUNTIF(G$2:G346,G346)=1,MAX(H$1:H345)+1,""))</f>
        <v/>
      </c>
    </row>
    <row r="347" customFormat="false" ht="15" hidden="false" customHeight="false" outlineLevel="0" collapsed="false">
      <c r="G347" s="0" t="str">
        <f aca="false">TRIM(Június!A50)</f>
        <v/>
      </c>
      <c r="H347" s="0" t="str">
        <f aca="false">IF(G347="","",IF(COUNTIF(G$2:G347,G347)=1,MAX(H$1:H346)+1,""))</f>
        <v/>
      </c>
    </row>
    <row r="348" customFormat="false" ht="15" hidden="false" customHeight="false" outlineLevel="0" collapsed="false">
      <c r="G348" s="0" t="str">
        <f aca="false">TRIM(Június!A51)</f>
        <v/>
      </c>
      <c r="H348" s="0" t="str">
        <f aca="false">IF(G348="","",IF(COUNTIF(G$2:G348,G348)=1,MAX(H$1:H347)+1,""))</f>
        <v/>
      </c>
    </row>
    <row r="349" customFormat="false" ht="15" hidden="false" customHeight="false" outlineLevel="0" collapsed="false">
      <c r="G349" s="0" t="str">
        <f aca="false">TRIM(Június!A54)</f>
        <v>Üzemanyag, elektromos töltés</v>
      </c>
      <c r="H349" s="0" t="str">
        <f aca="false">IF(G349="","",IF(COUNTIF(G$2:G349,G349)=1,MAX(H$1:H348)+1,""))</f>
        <v/>
      </c>
    </row>
    <row r="350" customFormat="false" ht="15" hidden="false" customHeight="false" outlineLevel="0" collapsed="false">
      <c r="G350" s="0" t="str">
        <f aca="false">TRIM(Június!A55)</f>
        <v>Parkolás, útdíj, autópálya-matrica</v>
      </c>
      <c r="H350" s="0" t="str">
        <f aca="false">IF(G350="","",IF(COUNTIF(G$2:G350,G350)=1,MAX(H$1:H349)+1,""))</f>
        <v/>
      </c>
    </row>
    <row r="351" customFormat="false" ht="15" hidden="false" customHeight="false" outlineLevel="0" collapsed="false">
      <c r="G351" s="0" t="str">
        <f aca="false">TRIM(Június!A56)</f>
        <v>Szerviz, karbantartás, gumicsere</v>
      </c>
      <c r="H351" s="0" t="str">
        <f aca="false">IF(G351="","",IF(COUNTIF(G$2:G351,G351)=1,MAX(H$1:H350)+1,""))</f>
        <v/>
      </c>
    </row>
    <row r="352" customFormat="false" ht="15" hidden="false" customHeight="false" outlineLevel="0" collapsed="false">
      <c r="G352" s="0" t="str">
        <f aca="false">TRIM(Június!A57)</f>
        <v>KGFB (kötelező biztosítás)</v>
      </c>
      <c r="H352" s="0" t="str">
        <f aca="false">IF(G352="","",IF(COUNTIF(G$2:G352,G352)=1,MAX(H$1:H351)+1,""))</f>
        <v/>
      </c>
    </row>
    <row r="353" customFormat="false" ht="15" hidden="false" customHeight="false" outlineLevel="0" collapsed="false">
      <c r="G353" s="0" t="str">
        <f aca="false">TRIM(Június!A58)</f>
        <v>CASCO</v>
      </c>
      <c r="H353" s="0" t="str">
        <f aca="false">IF(G353="","",IF(COUNTIF(G$2:G353,G353)=1,MAX(H$1:H352)+1,""))</f>
        <v/>
      </c>
    </row>
    <row r="354" customFormat="false" ht="15" hidden="false" customHeight="false" outlineLevel="0" collapsed="false">
      <c r="G354" s="0" t="str">
        <f aca="false">TRIM(Június!A59)</f>
        <v>Gépjárműadó</v>
      </c>
      <c r="H354" s="0" t="str">
        <f aca="false">IF(G354="","",IF(COUNTIF(G$2:G354,G354)=1,MAX(H$1:H353)+1,""))</f>
        <v/>
      </c>
    </row>
    <row r="355" customFormat="false" ht="15" hidden="false" customHeight="false" outlineLevel="0" collapsed="false">
      <c r="G355" s="0" t="str">
        <f aca="false">TRIM(Június!A60)</f>
        <v>Autóhitel, lízing részlet</v>
      </c>
      <c r="H355" s="0" t="str">
        <f aca="false">IF(G355="","",IF(COUNTIF(G$2:G355,G355)=1,MAX(H$1:H354)+1,""))</f>
        <v/>
      </c>
    </row>
    <row r="356" customFormat="false" ht="15" hidden="false" customHeight="false" outlineLevel="0" collapsed="false">
      <c r="G356" s="0" t="str">
        <f aca="false">TRIM(Június!A61)</f>
        <v>Autómosás, egyéb autós költség</v>
      </c>
      <c r="H356" s="0" t="str">
        <f aca="false">IF(G356="","",IF(COUNTIF(G$2:G356,G356)=1,MAX(H$1:H355)+1,""))</f>
        <v/>
      </c>
    </row>
    <row r="357" customFormat="false" ht="15" hidden="false" customHeight="false" outlineLevel="0" collapsed="false">
      <c r="G357" s="0" t="str">
        <f aca="false">TRIM(Június!A62)</f>
        <v>Tömegközlekedés, bérlet</v>
      </c>
      <c r="H357" s="0" t="str">
        <f aca="false">IF(G357="","",IF(COUNTIF(G$2:G357,G357)=1,MAX(H$1:H356)+1,""))</f>
        <v/>
      </c>
    </row>
    <row r="358" customFormat="false" ht="15" hidden="false" customHeight="false" outlineLevel="0" collapsed="false">
      <c r="G358" s="0" t="str">
        <f aca="false">TRIM(Június!A63)</f>
        <v>Taxi, roller, bicikli, közösségi közlekedés</v>
      </c>
      <c r="H358" s="0" t="str">
        <f aca="false">IF(G358="","",IF(COUNTIF(G$2:G358,G358)=1,MAX(H$1:H357)+1,""))</f>
        <v/>
      </c>
    </row>
    <row r="359" customFormat="false" ht="15" hidden="false" customHeight="false" outlineLevel="0" collapsed="false">
      <c r="G359" s="0" t="str">
        <f aca="false">TRIM(Június!A64)</f>
        <v/>
      </c>
      <c r="H359" s="0" t="str">
        <f aca="false">IF(G359="","",IF(COUNTIF(G$2:G359,G359)=1,MAX(H$1:H358)+1,""))</f>
        <v/>
      </c>
    </row>
    <row r="360" customFormat="false" ht="15" hidden="false" customHeight="false" outlineLevel="0" collapsed="false">
      <c r="G360" s="0" t="str">
        <f aca="false">TRIM(Június!A65)</f>
        <v/>
      </c>
      <c r="H360" s="0" t="str">
        <f aca="false">IF(G360="","",IF(COUNTIF(G$2:G360,G360)=1,MAX(H$1:H359)+1,""))</f>
        <v/>
      </c>
    </row>
    <row r="361" customFormat="false" ht="15" hidden="false" customHeight="false" outlineLevel="0" collapsed="false">
      <c r="G361" s="0" t="str">
        <f aca="false">TRIM(Június!A68)</f>
        <v>Gyerek ruha, cipő</v>
      </c>
      <c r="H361" s="0" t="str">
        <f aca="false">IF(G361="","",IF(COUNTIF(G$2:G361,G361)=1,MAX(H$1:H360)+1,""))</f>
        <v/>
      </c>
    </row>
    <row r="362" customFormat="false" ht="15" hidden="false" customHeight="false" outlineLevel="0" collapsed="false">
      <c r="G362" s="0" t="str">
        <f aca="false">TRIM(Június!A69)</f>
        <v>Gyerek étkeztetés (menza)</v>
      </c>
      <c r="H362" s="0" t="str">
        <f aca="false">IF(G362="","",IF(COUNTIF(G$2:G362,G362)=1,MAX(H$1:H361)+1,""))</f>
        <v/>
      </c>
    </row>
    <row r="363" customFormat="false" ht="15" hidden="false" customHeight="false" outlineLevel="0" collapsed="false">
      <c r="G363" s="0" t="str">
        <f aca="false">TRIM(Június!A70)</f>
        <v>Bölcsőde, óvoda, iskola díjai</v>
      </c>
      <c r="H363" s="0" t="str">
        <f aca="false">IF(G363="","",IF(COUNTIF(G$2:G363,G363)=1,MAX(H$1:H362)+1,""))</f>
        <v/>
      </c>
    </row>
    <row r="364" customFormat="false" ht="15" hidden="false" customHeight="false" outlineLevel="0" collapsed="false">
      <c r="G364" s="0" t="str">
        <f aca="false">TRIM(Június!A71)</f>
        <v>Tankönyv, tanszer</v>
      </c>
      <c r="H364" s="0" t="str">
        <f aca="false">IF(G364="","",IF(COUNTIF(G$2:G364,G364)=1,MAX(H$1:H363)+1,""))</f>
        <v/>
      </c>
    </row>
    <row r="365" customFormat="false" ht="15" hidden="false" customHeight="false" outlineLevel="0" collapsed="false">
      <c r="G365" s="0" t="str">
        <f aca="false">TRIM(Június!A72)</f>
        <v>Különórák, edzések</v>
      </c>
      <c r="H365" s="0" t="str">
        <f aca="false">IF(G365="","",IF(COUNTIF(G$2:G365,G365)=1,MAX(H$1:H364)+1,""))</f>
        <v/>
      </c>
    </row>
    <row r="366" customFormat="false" ht="15" hidden="false" customHeight="false" outlineLevel="0" collapsed="false">
      <c r="G366" s="0" t="str">
        <f aca="false">TRIM(Június!A73)</f>
        <v>Magánóra, korrepetálás</v>
      </c>
      <c r="H366" s="0" t="str">
        <f aca="false">IF(G366="","",IF(COUNTIF(G$2:G366,G366)=1,MAX(H$1:H365)+1,""))</f>
        <v/>
      </c>
    </row>
    <row r="367" customFormat="false" ht="15" hidden="false" customHeight="false" outlineLevel="0" collapsed="false">
      <c r="G367" s="0" t="str">
        <f aca="false">TRIM(Június!A74)</f>
        <v>Zsebpénz</v>
      </c>
      <c r="H367" s="0" t="str">
        <f aca="false">IF(G367="","",IF(COUNTIF(G$2:G367,G367)=1,MAX(H$1:H366)+1,""))</f>
        <v/>
      </c>
    </row>
    <row r="368" customFormat="false" ht="15" hidden="false" customHeight="false" outlineLevel="0" collapsed="false">
      <c r="G368" s="0" t="str">
        <f aca="false">TRIM(Június!A75)</f>
        <v>Játékok, szórakozás</v>
      </c>
      <c r="H368" s="0" t="str">
        <f aca="false">IF(G368="","",IF(COUNTIF(G$2:G368,G368)=1,MAX(H$1:H367)+1,""))</f>
        <v/>
      </c>
    </row>
    <row r="369" customFormat="false" ht="15" hidden="false" customHeight="false" outlineLevel="0" collapsed="false">
      <c r="G369" s="0" t="str">
        <f aca="false">TRIM(Június!A76)</f>
        <v/>
      </c>
      <c r="H369" s="0" t="str">
        <f aca="false">IF(G369="","",IF(COUNTIF(G$2:G369,G369)=1,MAX(H$1:H368)+1,""))</f>
        <v/>
      </c>
    </row>
    <row r="370" customFormat="false" ht="15" hidden="false" customHeight="false" outlineLevel="0" collapsed="false">
      <c r="G370" s="0" t="str">
        <f aca="false">TRIM(Június!A77)</f>
        <v/>
      </c>
      <c r="H370" s="0" t="str">
        <f aca="false">IF(G370="","",IF(COUNTIF(G$2:G370,G370)=1,MAX(H$1:H369)+1,""))</f>
        <v/>
      </c>
    </row>
    <row r="371" customFormat="false" ht="15" hidden="false" customHeight="false" outlineLevel="0" collapsed="false">
      <c r="G371" s="0" t="str">
        <f aca="false">TRIM(Június!A78)</f>
        <v/>
      </c>
      <c r="H371" s="0" t="str">
        <f aca="false">IF(G371="","",IF(COUNTIF(G$2:G371,G371)=1,MAX(H$1:H370)+1,""))</f>
        <v/>
      </c>
    </row>
    <row r="372" customFormat="false" ht="15" hidden="false" customHeight="false" outlineLevel="0" collapsed="false">
      <c r="G372" s="0" t="str">
        <f aca="false">TRIM(Június!A81)</f>
        <v>Ruha</v>
      </c>
      <c r="H372" s="0" t="str">
        <f aca="false">IF(G372="","",IF(COUNTIF(G$2:G372,G372)=1,MAX(H$1:H371)+1,""))</f>
        <v/>
      </c>
    </row>
    <row r="373" customFormat="false" ht="15" hidden="false" customHeight="false" outlineLevel="0" collapsed="false">
      <c r="G373" s="0" t="str">
        <f aca="false">TRIM(Június!A82)</f>
        <v>Cipő</v>
      </c>
      <c r="H373" s="0" t="str">
        <f aca="false">IF(G373="","",IF(COUNTIF(G$2:G373,G373)=1,MAX(H$1:H372)+1,""))</f>
        <v/>
      </c>
    </row>
    <row r="374" customFormat="false" ht="15" hidden="false" customHeight="false" outlineLevel="0" collapsed="false">
      <c r="G374" s="0" t="str">
        <f aca="false">TRIM(Június!A83)</f>
        <v>Kiegészítők (táska, ékszer, óra)</v>
      </c>
      <c r="H374" s="0" t="str">
        <f aca="false">IF(G374="","",IF(COUNTIF(G$2:G374,G374)=1,MAX(H$1:H373)+1,""))</f>
        <v/>
      </c>
    </row>
    <row r="375" customFormat="false" ht="15" hidden="false" customHeight="false" outlineLevel="0" collapsed="false">
      <c r="G375" s="0" t="str">
        <f aca="false">TRIM(Június!A84)</f>
        <v/>
      </c>
      <c r="H375" s="0" t="str">
        <f aca="false">IF(G375="","",IF(COUNTIF(G$2:G375,G375)=1,MAX(H$1:H374)+1,""))</f>
        <v/>
      </c>
    </row>
    <row r="376" customFormat="false" ht="15" hidden="false" customHeight="false" outlineLevel="0" collapsed="false">
      <c r="G376" s="0" t="str">
        <f aca="false">TRIM(Június!A87)</f>
        <v>Fodrász, borbély</v>
      </c>
      <c r="H376" s="0" t="str">
        <f aca="false">IF(G376="","",IF(COUNTIF(G$2:G376,G376)=1,MAX(H$1:H375)+1,""))</f>
        <v/>
      </c>
    </row>
    <row r="377" customFormat="false" ht="15" hidden="false" customHeight="false" outlineLevel="0" collapsed="false">
      <c r="G377" s="0" t="str">
        <f aca="false">TRIM(Június!A88)</f>
        <v>Kozmetikus, manikűr, pedikűr</v>
      </c>
      <c r="H377" s="0" t="str">
        <f aca="false">IF(G377="","",IF(COUNTIF(G$2:G377,G377)=1,MAX(H$1:H376)+1,""))</f>
        <v/>
      </c>
    </row>
    <row r="378" customFormat="false" ht="15" hidden="false" customHeight="false" outlineLevel="0" collapsed="false">
      <c r="G378" s="0" t="str">
        <f aca="false">TRIM(Június!A89)</f>
        <v>Kozmetikumok, parfüm</v>
      </c>
      <c r="H378" s="0" t="str">
        <f aca="false">IF(G378="","",IF(COUNTIF(G$2:G378,G378)=1,MAX(H$1:H377)+1,""))</f>
        <v/>
      </c>
    </row>
    <row r="379" customFormat="false" ht="15" hidden="false" customHeight="false" outlineLevel="0" collapsed="false">
      <c r="G379" s="0" t="str">
        <f aca="false">TRIM(Június!A90)</f>
        <v>Edzés, sport, bérlet</v>
      </c>
      <c r="H379" s="0" t="str">
        <f aca="false">IF(G379="","",IF(COUNTIF(G$2:G379,G379)=1,MAX(H$1:H378)+1,""))</f>
        <v/>
      </c>
    </row>
    <row r="380" customFormat="false" ht="15" hidden="false" customHeight="false" outlineLevel="0" collapsed="false">
      <c r="G380" s="0" t="str">
        <f aca="false">TRIM(Június!A91)</f>
        <v>Gyógyszer, vitamin</v>
      </c>
      <c r="H380" s="0" t="str">
        <f aca="false">IF(G380="","",IF(COUNTIF(G$2:G380,G380)=1,MAX(H$1:H379)+1,""))</f>
        <v/>
      </c>
    </row>
    <row r="381" customFormat="false" ht="15" hidden="false" customHeight="false" outlineLevel="0" collapsed="false">
      <c r="G381" s="0" t="str">
        <f aca="false">TRIM(Június!A92)</f>
        <v>Orvos, fogorvos, magánrendelés</v>
      </c>
      <c r="H381" s="0" t="str">
        <f aca="false">IF(G381="","",IF(COUNTIF(G$2:G381,G381)=1,MAX(H$1:H380)+1,""))</f>
        <v/>
      </c>
    </row>
    <row r="382" customFormat="false" ht="15" hidden="false" customHeight="false" outlineLevel="0" collapsed="false">
      <c r="G382" s="0" t="str">
        <f aca="false">TRIM(Június!A93)</f>
        <v/>
      </c>
      <c r="H382" s="0" t="str">
        <f aca="false">IF(G382="","",IF(COUNTIF(G$2:G382,G382)=1,MAX(H$1:H381)+1,""))</f>
        <v/>
      </c>
    </row>
    <row r="383" customFormat="false" ht="15" hidden="false" customHeight="false" outlineLevel="0" collapsed="false">
      <c r="G383" s="0" t="str">
        <f aca="false">TRIM(Június!A96)</f>
        <v>Cigaretta, dohány</v>
      </c>
      <c r="H383" s="0" t="str">
        <f aca="false">IF(G383="","",IF(COUNTIF(G$2:G383,G383)=1,MAX(H$1:H382)+1,""))</f>
        <v/>
      </c>
    </row>
    <row r="384" customFormat="false" ht="15" hidden="false" customHeight="false" outlineLevel="0" collapsed="false">
      <c r="G384" s="0" t="str">
        <f aca="false">TRIM(Június!A97)</f>
        <v>E-cigaretta, hevített dohánytermék</v>
      </c>
      <c r="H384" s="0" t="str">
        <f aca="false">IF(G384="","",IF(COUNTIF(G$2:G384,G384)=1,MAX(H$1:H383)+1,""))</f>
        <v/>
      </c>
    </row>
    <row r="385" customFormat="false" ht="15" hidden="false" customHeight="false" outlineLevel="0" collapsed="false">
      <c r="G385" s="0" t="str">
        <f aca="false">TRIM(Június!A98)</f>
        <v/>
      </c>
      <c r="H385" s="0" t="str">
        <f aca="false">IF(G385="","",IF(COUNTIF(G$2:G385,G385)=1,MAX(H$1:H384)+1,""))</f>
        <v/>
      </c>
    </row>
    <row r="386" customFormat="false" ht="15" hidden="false" customHeight="false" outlineLevel="0" collapsed="false">
      <c r="G386" s="0" t="str">
        <f aca="false">TRIM(Június!A101)</f>
        <v>Állateledel, jutalomfalat</v>
      </c>
      <c r="H386" s="0" t="str">
        <f aca="false">IF(G386="","",IF(COUNTIF(G$2:G386,G386)=1,MAX(H$1:H385)+1,""))</f>
        <v/>
      </c>
    </row>
    <row r="387" customFormat="false" ht="15" hidden="false" customHeight="false" outlineLevel="0" collapsed="false">
      <c r="G387" s="0" t="str">
        <f aca="false">TRIM(Június!A102)</f>
        <v>Állatorvos, oltások, gyógyszer</v>
      </c>
      <c r="H387" s="0" t="str">
        <f aca="false">IF(G387="","",IF(COUNTIF(G$2:G387,G387)=1,MAX(H$1:H386)+1,""))</f>
        <v/>
      </c>
    </row>
    <row r="388" customFormat="false" ht="15" hidden="false" customHeight="false" outlineLevel="0" collapsed="false">
      <c r="G388" s="0" t="str">
        <f aca="false">TRIM(Június!A103)</f>
        <v>Felszerelés, alom, játékok</v>
      </c>
      <c r="H388" s="0" t="str">
        <f aca="false">IF(G388="","",IF(COUNTIF(G$2:G388,G388)=1,MAX(H$1:H387)+1,""))</f>
        <v/>
      </c>
    </row>
    <row r="389" customFormat="false" ht="15" hidden="false" customHeight="false" outlineLevel="0" collapsed="false">
      <c r="G389" s="0" t="str">
        <f aca="false">TRIM(Június!A104)</f>
        <v>Kisállat-kozmetika, panzió, kutyaiskola</v>
      </c>
      <c r="H389" s="0" t="str">
        <f aca="false">IF(G389="","",IF(COUNTIF(G$2:G389,G389)=1,MAX(H$1:H388)+1,""))</f>
        <v/>
      </c>
    </row>
    <row r="390" customFormat="false" ht="15" hidden="false" customHeight="false" outlineLevel="0" collapsed="false">
      <c r="G390" s="0" t="str">
        <f aca="false">TRIM(Június!A105)</f>
        <v/>
      </c>
      <c r="H390" s="0" t="str">
        <f aca="false">IF(G390="","",IF(COUNTIF(G$2:G390,G390)=1,MAX(H$1:H389)+1,""))</f>
        <v/>
      </c>
    </row>
    <row r="391" customFormat="false" ht="15" hidden="false" customHeight="false" outlineLevel="0" collapsed="false">
      <c r="G391" s="0" t="str">
        <f aca="false">TRIM(Június!A108)</f>
        <v>Hobbi</v>
      </c>
      <c r="H391" s="0" t="str">
        <f aca="false">IF(G391="","",IF(COUNTIF(G$2:G391,G391)=1,MAX(H$1:H390)+1,""))</f>
        <v/>
      </c>
    </row>
    <row r="392" customFormat="false" ht="15" hidden="false" customHeight="false" outlineLevel="0" collapsed="false">
      <c r="G392" s="0" t="str">
        <f aca="false">TRIM(Június!A109)</f>
        <v>Szórakozás (mozi, színház, koncert, étterem)</v>
      </c>
      <c r="H392" s="0" t="str">
        <f aca="false">IF(G392="","",IF(COUNTIF(G$2:G392,G392)=1,MAX(H$1:H391)+1,""))</f>
        <v/>
      </c>
    </row>
    <row r="393" customFormat="false" ht="15" hidden="false" customHeight="false" outlineLevel="0" collapsed="false">
      <c r="G393" s="0" t="str">
        <f aca="false">TRIM(Június!A110)</f>
        <v>Nyaralás, utazás</v>
      </c>
      <c r="H393" s="0" t="str">
        <f aca="false">IF(G393="","",IF(COUNTIF(G$2:G393,G393)=1,MAX(H$1:H392)+1,""))</f>
        <v/>
      </c>
    </row>
    <row r="394" customFormat="false" ht="15" hidden="false" customHeight="false" outlineLevel="0" collapsed="false">
      <c r="G394" s="0" t="str">
        <f aca="false">TRIM(Június!A111)</f>
        <v/>
      </c>
      <c r="H394" s="0" t="str">
        <f aca="false">IF(G394="","",IF(COUNTIF(G$2:G394,G394)=1,MAX(H$1:H393)+1,""))</f>
        <v/>
      </c>
    </row>
    <row r="395" customFormat="false" ht="15" hidden="false" customHeight="false" outlineLevel="0" collapsed="false">
      <c r="G395" s="0" t="str">
        <f aca="false">TRIM(Június!A114)</f>
        <v>Ünnepek, ajándékok</v>
      </c>
      <c r="H395" s="0" t="str">
        <f aca="false">IF(G395="","",IF(COUNTIF(G$2:G395,G395)=1,MAX(H$1:H394)+1,""))</f>
        <v/>
      </c>
    </row>
    <row r="396" customFormat="false" ht="15" hidden="false" customHeight="false" outlineLevel="0" collapsed="false">
      <c r="G396" s="0" t="str">
        <f aca="false">TRIM(Június!A115)</f>
        <v>Egyéb kiadás</v>
      </c>
      <c r="H396" s="0" t="str">
        <f aca="false">IF(G396="","",IF(COUNTIF(G$2:G396,G396)=1,MAX(H$1:H395)+1,""))</f>
        <v/>
      </c>
    </row>
    <row r="397" customFormat="false" ht="15" hidden="false" customHeight="false" outlineLevel="0" collapsed="false">
      <c r="G397" s="0" t="str">
        <f aca="false">TRIM(Június!A116)</f>
        <v/>
      </c>
      <c r="H397" s="0" t="str">
        <f aca="false">IF(G397="","",IF(COUNTIF(G$2:G397,G397)=1,MAX(H$1:H396)+1,""))</f>
        <v/>
      </c>
    </row>
    <row r="398" customFormat="false" ht="15" hidden="false" customHeight="false" outlineLevel="0" collapsed="false">
      <c r="G398" s="0" t="str">
        <f aca="false">TRIM(Július!A31)</f>
        <v>Albérleti díj / lakáshitel</v>
      </c>
      <c r="H398" s="0" t="str">
        <f aca="false">IF(G398="","",IF(COUNTIF(G$2:G398,G398)=1,MAX(H$1:H397)+1,""))</f>
        <v/>
      </c>
    </row>
    <row r="399" customFormat="false" ht="15" hidden="false" customHeight="false" outlineLevel="0" collapsed="false">
      <c r="G399" s="0" t="str">
        <f aca="false">TRIM(Július!A32)</f>
        <v>Rezsi (közművek, közös költség)</v>
      </c>
      <c r="H399" s="0" t="str">
        <f aca="false">IF(G399="","",IF(COUNTIF(G$2:G399,G399)=1,MAX(H$1:H398)+1,""))</f>
        <v/>
      </c>
    </row>
    <row r="400" customFormat="false" ht="15" hidden="false" customHeight="false" outlineLevel="0" collapsed="false">
      <c r="G400" s="0" t="str">
        <f aca="false">TRIM(Július!A33)</f>
        <v>Telefon, internet, digitális előfizetések</v>
      </c>
      <c r="H400" s="0" t="str">
        <f aca="false">IF(G400="","",IF(COUNTIF(G$2:G400,G400)=1,MAX(H$1:H399)+1,""))</f>
        <v/>
      </c>
    </row>
    <row r="401" customFormat="false" ht="15" hidden="false" customHeight="false" outlineLevel="0" collapsed="false">
      <c r="G401" s="0" t="str">
        <f aca="false">TRIM(Július!A34)</f>
        <v/>
      </c>
      <c r="H401" s="0" t="str">
        <f aca="false">IF(G401="","",IF(COUNTIF(G$2:G401,G401)=1,MAX(H$1:H400)+1,""))</f>
        <v/>
      </c>
    </row>
    <row r="402" customFormat="false" ht="15" hidden="false" customHeight="false" outlineLevel="0" collapsed="false">
      <c r="G402" s="0" t="str">
        <f aca="false">TRIM(Július!A37)</f>
        <v>Nagybevásárlások</v>
      </c>
      <c r="H402" s="0" t="str">
        <f aca="false">IF(G402="","",IF(COUNTIF(G$2:G402,G402)=1,MAX(H$1:H401)+1,""))</f>
        <v/>
      </c>
    </row>
    <row r="403" customFormat="false" ht="15" hidden="false" customHeight="false" outlineLevel="0" collapsed="false">
      <c r="G403" s="0" t="str">
        <f aca="false">TRIM(Július!A38)</f>
        <v>Drogéria</v>
      </c>
      <c r="H403" s="0" t="str">
        <f aca="false">IF(G403="","",IF(COUNTIF(G$2:G403,G403)=1,MAX(H$1:H402)+1,""))</f>
        <v/>
      </c>
    </row>
    <row r="404" customFormat="false" ht="15" hidden="false" customHeight="false" outlineLevel="0" collapsed="false">
      <c r="G404" s="0" t="str">
        <f aca="false">TRIM(Július!A39)</f>
        <v>Ételrendelés</v>
      </c>
      <c r="H404" s="0" t="str">
        <f aca="false">IF(G404="","",IF(COUNTIF(G$2:G404,G404)=1,MAX(H$1:H403)+1,""))</f>
        <v/>
      </c>
    </row>
    <row r="405" customFormat="false" ht="15" hidden="false" customHeight="false" outlineLevel="0" collapsed="false">
      <c r="G405" s="0" t="str">
        <f aca="false">TRIM(Július!A40)</f>
        <v>Egyéb élelmiszer, bevásárlás</v>
      </c>
      <c r="H405" s="0" t="str">
        <f aca="false">IF(G405="","",IF(COUNTIF(G$2:G405,G405)=1,MAX(H$1:H404)+1,""))</f>
        <v/>
      </c>
    </row>
    <row r="406" customFormat="false" ht="15" hidden="false" customHeight="false" outlineLevel="0" collapsed="false">
      <c r="G406" s="0" t="str">
        <f aca="false">TRIM(Július!A41)</f>
        <v/>
      </c>
      <c r="H406" s="0" t="str">
        <f aca="false">IF(G406="","",IF(COUNTIF(G$2:G406,G406)=1,MAX(H$1:H405)+1,""))</f>
        <v/>
      </c>
    </row>
    <row r="407" customFormat="false" ht="15" hidden="false" customHeight="false" outlineLevel="0" collapsed="false">
      <c r="G407" s="0" t="str">
        <f aca="false">TRIM(Július!A44)</f>
        <v>Lakásbiztosítás</v>
      </c>
      <c r="H407" s="0" t="str">
        <f aca="false">IF(G407="","",IF(COUNTIF(G$2:G407,G407)=1,MAX(H$1:H406)+1,""))</f>
        <v/>
      </c>
    </row>
    <row r="408" customFormat="false" ht="15" hidden="false" customHeight="false" outlineLevel="0" collapsed="false">
      <c r="G408" s="0" t="str">
        <f aca="false">TRIM(Július!A45)</f>
        <v>Életbiztosítás</v>
      </c>
      <c r="H408" s="0" t="str">
        <f aca="false">IF(G408="","",IF(COUNTIF(G$2:G408,G408)=1,MAX(H$1:H407)+1,""))</f>
        <v/>
      </c>
    </row>
    <row r="409" customFormat="false" ht="15" hidden="false" customHeight="false" outlineLevel="0" collapsed="false">
      <c r="G409" s="0" t="str">
        <f aca="false">TRIM(Július!A46)</f>
        <v>Baleset- és betegségbiztosítás</v>
      </c>
      <c r="H409" s="0" t="str">
        <f aca="false">IF(G409="","",IF(COUNTIF(G$2:G409,G409)=1,MAX(H$1:H408)+1,""))</f>
        <v/>
      </c>
    </row>
    <row r="410" customFormat="false" ht="15" hidden="false" customHeight="false" outlineLevel="0" collapsed="false">
      <c r="G410" s="0" t="str">
        <f aca="false">TRIM(Július!A47)</f>
        <v>Egészségbiztosítás</v>
      </c>
      <c r="H410" s="0" t="str">
        <f aca="false">IF(G410="","",IF(COUNTIF(G$2:G410,G410)=1,MAX(H$1:H409)+1,""))</f>
        <v/>
      </c>
    </row>
    <row r="411" customFormat="false" ht="15" hidden="false" customHeight="false" outlineLevel="0" collapsed="false">
      <c r="G411" s="0" t="str">
        <f aca="false">TRIM(Július!A48)</f>
        <v>Hiteltörlesztés</v>
      </c>
      <c r="H411" s="0" t="str">
        <f aca="false">IF(G411="","",IF(COUNTIF(G$2:G411,G411)=1,MAX(H$1:H410)+1,""))</f>
        <v/>
      </c>
    </row>
    <row r="412" customFormat="false" ht="15" hidden="false" customHeight="false" outlineLevel="0" collapsed="false">
      <c r="G412" s="0" t="str">
        <f aca="false">TRIM(Július!A49)</f>
        <v>Egyéb szerződés</v>
      </c>
      <c r="H412" s="0" t="str">
        <f aca="false">IF(G412="","",IF(COUNTIF(G$2:G412,G412)=1,MAX(H$1:H411)+1,""))</f>
        <v/>
      </c>
    </row>
    <row r="413" customFormat="false" ht="15" hidden="false" customHeight="false" outlineLevel="0" collapsed="false">
      <c r="G413" s="0" t="str">
        <f aca="false">TRIM(Július!A50)</f>
        <v/>
      </c>
      <c r="H413" s="0" t="str">
        <f aca="false">IF(G413="","",IF(COUNTIF(G$2:G413,G413)=1,MAX(H$1:H412)+1,""))</f>
        <v/>
      </c>
    </row>
    <row r="414" customFormat="false" ht="15" hidden="false" customHeight="false" outlineLevel="0" collapsed="false">
      <c r="G414" s="0" t="str">
        <f aca="false">TRIM(Július!A51)</f>
        <v/>
      </c>
      <c r="H414" s="0" t="str">
        <f aca="false">IF(G414="","",IF(COUNTIF(G$2:G414,G414)=1,MAX(H$1:H413)+1,""))</f>
        <v/>
      </c>
    </row>
    <row r="415" customFormat="false" ht="15" hidden="false" customHeight="false" outlineLevel="0" collapsed="false">
      <c r="G415" s="0" t="str">
        <f aca="false">TRIM(Július!A54)</f>
        <v>Üzemanyag, elektromos töltés</v>
      </c>
      <c r="H415" s="0" t="str">
        <f aca="false">IF(G415="","",IF(COUNTIF(G$2:G415,G415)=1,MAX(H$1:H414)+1,""))</f>
        <v/>
      </c>
    </row>
    <row r="416" customFormat="false" ht="15" hidden="false" customHeight="false" outlineLevel="0" collapsed="false">
      <c r="G416" s="0" t="str">
        <f aca="false">TRIM(Július!A55)</f>
        <v>Parkolás, útdíj, autópálya-matrica</v>
      </c>
      <c r="H416" s="0" t="str">
        <f aca="false">IF(G416="","",IF(COUNTIF(G$2:G416,G416)=1,MAX(H$1:H415)+1,""))</f>
        <v/>
      </c>
    </row>
    <row r="417" customFormat="false" ht="15" hidden="false" customHeight="false" outlineLevel="0" collapsed="false">
      <c r="G417" s="0" t="str">
        <f aca="false">TRIM(Július!A56)</f>
        <v>Szerviz, karbantartás, gumicsere</v>
      </c>
      <c r="H417" s="0" t="str">
        <f aca="false">IF(G417="","",IF(COUNTIF(G$2:G417,G417)=1,MAX(H$1:H416)+1,""))</f>
        <v/>
      </c>
    </row>
    <row r="418" customFormat="false" ht="15" hidden="false" customHeight="false" outlineLevel="0" collapsed="false">
      <c r="G418" s="0" t="str">
        <f aca="false">TRIM(Július!A57)</f>
        <v>KGFB (kötelező biztosítás)</v>
      </c>
      <c r="H418" s="0" t="str">
        <f aca="false">IF(G418="","",IF(COUNTIF(G$2:G418,G418)=1,MAX(H$1:H417)+1,""))</f>
        <v/>
      </c>
    </row>
    <row r="419" customFormat="false" ht="15" hidden="false" customHeight="false" outlineLevel="0" collapsed="false">
      <c r="G419" s="0" t="str">
        <f aca="false">TRIM(Július!A58)</f>
        <v>CASCO</v>
      </c>
      <c r="H419" s="0" t="str">
        <f aca="false">IF(G419="","",IF(COUNTIF(G$2:G419,G419)=1,MAX(H$1:H418)+1,""))</f>
        <v/>
      </c>
    </row>
    <row r="420" customFormat="false" ht="15" hidden="false" customHeight="false" outlineLevel="0" collapsed="false">
      <c r="G420" s="0" t="str">
        <f aca="false">TRIM(Július!A59)</f>
        <v>Gépjárműadó</v>
      </c>
      <c r="H420" s="0" t="str">
        <f aca="false">IF(G420="","",IF(COUNTIF(G$2:G420,G420)=1,MAX(H$1:H419)+1,""))</f>
        <v/>
      </c>
    </row>
    <row r="421" customFormat="false" ht="15" hidden="false" customHeight="false" outlineLevel="0" collapsed="false">
      <c r="G421" s="0" t="str">
        <f aca="false">TRIM(Július!A60)</f>
        <v>Autóhitel, lízing részlet</v>
      </c>
      <c r="H421" s="0" t="str">
        <f aca="false">IF(G421="","",IF(COUNTIF(G$2:G421,G421)=1,MAX(H$1:H420)+1,""))</f>
        <v/>
      </c>
    </row>
    <row r="422" customFormat="false" ht="15" hidden="false" customHeight="false" outlineLevel="0" collapsed="false">
      <c r="G422" s="0" t="str">
        <f aca="false">TRIM(Július!A61)</f>
        <v>Autómosás, egyéb autós költség</v>
      </c>
      <c r="H422" s="0" t="str">
        <f aca="false">IF(G422="","",IF(COUNTIF(G$2:G422,G422)=1,MAX(H$1:H421)+1,""))</f>
        <v/>
      </c>
    </row>
    <row r="423" customFormat="false" ht="15" hidden="false" customHeight="false" outlineLevel="0" collapsed="false">
      <c r="G423" s="0" t="str">
        <f aca="false">TRIM(Július!A62)</f>
        <v>Tömegközlekedés, bérlet</v>
      </c>
      <c r="H423" s="0" t="str">
        <f aca="false">IF(G423="","",IF(COUNTIF(G$2:G423,G423)=1,MAX(H$1:H422)+1,""))</f>
        <v/>
      </c>
    </row>
    <row r="424" customFormat="false" ht="15" hidden="false" customHeight="false" outlineLevel="0" collapsed="false">
      <c r="G424" s="0" t="str">
        <f aca="false">TRIM(Július!A63)</f>
        <v>Taxi, roller, bicikli, közösségi közlekedés</v>
      </c>
      <c r="H424" s="0" t="str">
        <f aca="false">IF(G424="","",IF(COUNTIF(G$2:G424,G424)=1,MAX(H$1:H423)+1,""))</f>
        <v/>
      </c>
    </row>
    <row r="425" customFormat="false" ht="15" hidden="false" customHeight="false" outlineLevel="0" collapsed="false">
      <c r="G425" s="0" t="str">
        <f aca="false">TRIM(Július!A64)</f>
        <v/>
      </c>
      <c r="H425" s="0" t="str">
        <f aca="false">IF(G425="","",IF(COUNTIF(G$2:G425,G425)=1,MAX(H$1:H424)+1,""))</f>
        <v/>
      </c>
    </row>
    <row r="426" customFormat="false" ht="15" hidden="false" customHeight="false" outlineLevel="0" collapsed="false">
      <c r="G426" s="0" t="str">
        <f aca="false">TRIM(Július!A65)</f>
        <v/>
      </c>
      <c r="H426" s="0" t="str">
        <f aca="false">IF(G426="","",IF(COUNTIF(G$2:G426,G426)=1,MAX(H$1:H425)+1,""))</f>
        <v/>
      </c>
    </row>
    <row r="427" customFormat="false" ht="15" hidden="false" customHeight="false" outlineLevel="0" collapsed="false">
      <c r="G427" s="0" t="str">
        <f aca="false">TRIM(Július!A68)</f>
        <v>Gyerek ruha, cipő</v>
      </c>
      <c r="H427" s="0" t="str">
        <f aca="false">IF(G427="","",IF(COUNTIF(G$2:G427,G427)=1,MAX(H$1:H426)+1,""))</f>
        <v/>
      </c>
    </row>
    <row r="428" customFormat="false" ht="15" hidden="false" customHeight="false" outlineLevel="0" collapsed="false">
      <c r="G428" s="0" t="str">
        <f aca="false">TRIM(Július!A69)</f>
        <v>Gyerek étkeztetés (menza)</v>
      </c>
      <c r="H428" s="0" t="str">
        <f aca="false">IF(G428="","",IF(COUNTIF(G$2:G428,G428)=1,MAX(H$1:H427)+1,""))</f>
        <v/>
      </c>
    </row>
    <row r="429" customFormat="false" ht="15" hidden="false" customHeight="false" outlineLevel="0" collapsed="false">
      <c r="G429" s="0" t="str">
        <f aca="false">TRIM(Július!A70)</f>
        <v>Bölcsőde, óvoda, iskola díjai</v>
      </c>
      <c r="H429" s="0" t="str">
        <f aca="false">IF(G429="","",IF(COUNTIF(G$2:G429,G429)=1,MAX(H$1:H428)+1,""))</f>
        <v/>
      </c>
    </row>
    <row r="430" customFormat="false" ht="15" hidden="false" customHeight="false" outlineLevel="0" collapsed="false">
      <c r="G430" s="0" t="str">
        <f aca="false">TRIM(Július!A71)</f>
        <v>Tankönyv, tanszer</v>
      </c>
      <c r="H430" s="0" t="str">
        <f aca="false">IF(G430="","",IF(COUNTIF(G$2:G430,G430)=1,MAX(H$1:H429)+1,""))</f>
        <v/>
      </c>
    </row>
    <row r="431" customFormat="false" ht="15" hidden="false" customHeight="false" outlineLevel="0" collapsed="false">
      <c r="G431" s="0" t="str">
        <f aca="false">TRIM(Július!A72)</f>
        <v>Különórák, edzések</v>
      </c>
      <c r="H431" s="0" t="str">
        <f aca="false">IF(G431="","",IF(COUNTIF(G$2:G431,G431)=1,MAX(H$1:H430)+1,""))</f>
        <v/>
      </c>
    </row>
    <row r="432" customFormat="false" ht="15" hidden="false" customHeight="false" outlineLevel="0" collapsed="false">
      <c r="G432" s="0" t="str">
        <f aca="false">TRIM(Július!A73)</f>
        <v>Magánóra, korrepetálás</v>
      </c>
      <c r="H432" s="0" t="str">
        <f aca="false">IF(G432="","",IF(COUNTIF(G$2:G432,G432)=1,MAX(H$1:H431)+1,""))</f>
        <v/>
      </c>
    </row>
    <row r="433" customFormat="false" ht="15" hidden="false" customHeight="false" outlineLevel="0" collapsed="false">
      <c r="G433" s="0" t="str">
        <f aca="false">TRIM(Július!A74)</f>
        <v>Zsebpénz</v>
      </c>
      <c r="H433" s="0" t="str">
        <f aca="false">IF(G433="","",IF(COUNTIF(G$2:G433,G433)=1,MAX(H$1:H432)+1,""))</f>
        <v/>
      </c>
    </row>
    <row r="434" customFormat="false" ht="15" hidden="false" customHeight="false" outlineLevel="0" collapsed="false">
      <c r="G434" s="0" t="str">
        <f aca="false">TRIM(Július!A75)</f>
        <v>Játékok, szórakozás</v>
      </c>
      <c r="H434" s="0" t="str">
        <f aca="false">IF(G434="","",IF(COUNTIF(G$2:G434,G434)=1,MAX(H$1:H433)+1,""))</f>
        <v/>
      </c>
    </row>
    <row r="435" customFormat="false" ht="15" hidden="false" customHeight="false" outlineLevel="0" collapsed="false">
      <c r="G435" s="0" t="str">
        <f aca="false">TRIM(Július!A76)</f>
        <v/>
      </c>
      <c r="H435" s="0" t="str">
        <f aca="false">IF(G435="","",IF(COUNTIF(G$2:G435,G435)=1,MAX(H$1:H434)+1,""))</f>
        <v/>
      </c>
    </row>
    <row r="436" customFormat="false" ht="15" hidden="false" customHeight="false" outlineLevel="0" collapsed="false">
      <c r="G436" s="0" t="str">
        <f aca="false">TRIM(Július!A77)</f>
        <v/>
      </c>
      <c r="H436" s="0" t="str">
        <f aca="false">IF(G436="","",IF(COUNTIF(G$2:G436,G436)=1,MAX(H$1:H435)+1,""))</f>
        <v/>
      </c>
    </row>
    <row r="437" customFormat="false" ht="15" hidden="false" customHeight="false" outlineLevel="0" collapsed="false">
      <c r="G437" s="0" t="str">
        <f aca="false">TRIM(Július!A78)</f>
        <v/>
      </c>
      <c r="H437" s="0" t="str">
        <f aca="false">IF(G437="","",IF(COUNTIF(G$2:G437,G437)=1,MAX(H$1:H436)+1,""))</f>
        <v/>
      </c>
    </row>
    <row r="438" customFormat="false" ht="15" hidden="false" customHeight="false" outlineLevel="0" collapsed="false">
      <c r="G438" s="0" t="str">
        <f aca="false">TRIM(Július!A81)</f>
        <v>Ruha</v>
      </c>
      <c r="H438" s="0" t="str">
        <f aca="false">IF(G438="","",IF(COUNTIF(G$2:G438,G438)=1,MAX(H$1:H437)+1,""))</f>
        <v/>
      </c>
    </row>
    <row r="439" customFormat="false" ht="15" hidden="false" customHeight="false" outlineLevel="0" collapsed="false">
      <c r="G439" s="0" t="str">
        <f aca="false">TRIM(Július!A82)</f>
        <v>Cipő</v>
      </c>
      <c r="H439" s="0" t="str">
        <f aca="false">IF(G439="","",IF(COUNTIF(G$2:G439,G439)=1,MAX(H$1:H438)+1,""))</f>
        <v/>
      </c>
    </row>
    <row r="440" customFormat="false" ht="15" hidden="false" customHeight="false" outlineLevel="0" collapsed="false">
      <c r="G440" s="0" t="str">
        <f aca="false">TRIM(Július!A83)</f>
        <v>Kiegészítők (táska, ékszer, óra)</v>
      </c>
      <c r="H440" s="0" t="str">
        <f aca="false">IF(G440="","",IF(COUNTIF(G$2:G440,G440)=1,MAX(H$1:H439)+1,""))</f>
        <v/>
      </c>
    </row>
    <row r="441" customFormat="false" ht="15" hidden="false" customHeight="false" outlineLevel="0" collapsed="false">
      <c r="G441" s="0" t="str">
        <f aca="false">TRIM(Július!A84)</f>
        <v/>
      </c>
      <c r="H441" s="0" t="str">
        <f aca="false">IF(G441="","",IF(COUNTIF(G$2:G441,G441)=1,MAX(H$1:H440)+1,""))</f>
        <v/>
      </c>
    </row>
    <row r="442" customFormat="false" ht="15" hidden="false" customHeight="false" outlineLevel="0" collapsed="false">
      <c r="G442" s="0" t="str">
        <f aca="false">TRIM(Július!A87)</f>
        <v>Fodrász, borbély</v>
      </c>
      <c r="H442" s="0" t="str">
        <f aca="false">IF(G442="","",IF(COUNTIF(G$2:G442,G442)=1,MAX(H$1:H441)+1,""))</f>
        <v/>
      </c>
    </row>
    <row r="443" customFormat="false" ht="15" hidden="false" customHeight="false" outlineLevel="0" collapsed="false">
      <c r="G443" s="0" t="str">
        <f aca="false">TRIM(Július!A88)</f>
        <v>Kozmetikus, manikűr, pedikűr</v>
      </c>
      <c r="H443" s="0" t="str">
        <f aca="false">IF(G443="","",IF(COUNTIF(G$2:G443,G443)=1,MAX(H$1:H442)+1,""))</f>
        <v/>
      </c>
    </row>
    <row r="444" customFormat="false" ht="15" hidden="false" customHeight="false" outlineLevel="0" collapsed="false">
      <c r="G444" s="0" t="str">
        <f aca="false">TRIM(Július!A89)</f>
        <v>Kozmetikumok, parfüm</v>
      </c>
      <c r="H444" s="0" t="str">
        <f aca="false">IF(G444="","",IF(COUNTIF(G$2:G444,G444)=1,MAX(H$1:H443)+1,""))</f>
        <v/>
      </c>
    </row>
    <row r="445" customFormat="false" ht="15" hidden="false" customHeight="false" outlineLevel="0" collapsed="false">
      <c r="G445" s="0" t="str">
        <f aca="false">TRIM(Július!A90)</f>
        <v>Edzés, sport, bérlet</v>
      </c>
      <c r="H445" s="0" t="str">
        <f aca="false">IF(G445="","",IF(COUNTIF(G$2:G445,G445)=1,MAX(H$1:H444)+1,""))</f>
        <v/>
      </c>
    </row>
    <row r="446" customFormat="false" ht="15" hidden="false" customHeight="false" outlineLevel="0" collapsed="false">
      <c r="G446" s="0" t="str">
        <f aca="false">TRIM(Július!A91)</f>
        <v>Gyógyszer, vitamin</v>
      </c>
      <c r="H446" s="0" t="str">
        <f aca="false">IF(G446="","",IF(COUNTIF(G$2:G446,G446)=1,MAX(H$1:H445)+1,""))</f>
        <v/>
      </c>
    </row>
    <row r="447" customFormat="false" ht="15" hidden="false" customHeight="false" outlineLevel="0" collapsed="false">
      <c r="G447" s="0" t="str">
        <f aca="false">TRIM(Július!A92)</f>
        <v>Orvos, fogorvos, magánrendelés</v>
      </c>
      <c r="H447" s="0" t="str">
        <f aca="false">IF(G447="","",IF(COUNTIF(G$2:G447,G447)=1,MAX(H$1:H446)+1,""))</f>
        <v/>
      </c>
    </row>
    <row r="448" customFormat="false" ht="15" hidden="false" customHeight="false" outlineLevel="0" collapsed="false">
      <c r="G448" s="0" t="str">
        <f aca="false">TRIM(Július!A93)</f>
        <v/>
      </c>
      <c r="H448" s="0" t="str">
        <f aca="false">IF(G448="","",IF(COUNTIF(G$2:G448,G448)=1,MAX(H$1:H447)+1,""))</f>
        <v/>
      </c>
    </row>
    <row r="449" customFormat="false" ht="15" hidden="false" customHeight="false" outlineLevel="0" collapsed="false">
      <c r="G449" s="0" t="str">
        <f aca="false">TRIM(Július!A96)</f>
        <v>Cigaretta, dohány</v>
      </c>
      <c r="H449" s="0" t="str">
        <f aca="false">IF(G449="","",IF(COUNTIF(G$2:G449,G449)=1,MAX(H$1:H448)+1,""))</f>
        <v/>
      </c>
    </row>
    <row r="450" customFormat="false" ht="15" hidden="false" customHeight="false" outlineLevel="0" collapsed="false">
      <c r="G450" s="0" t="str">
        <f aca="false">TRIM(Július!A97)</f>
        <v>E-cigaretta, hevített dohánytermék</v>
      </c>
      <c r="H450" s="0" t="str">
        <f aca="false">IF(G450="","",IF(COUNTIF(G$2:G450,G450)=1,MAX(H$1:H449)+1,""))</f>
        <v/>
      </c>
    </row>
    <row r="451" customFormat="false" ht="15" hidden="false" customHeight="false" outlineLevel="0" collapsed="false">
      <c r="G451" s="0" t="str">
        <f aca="false">TRIM(Július!A98)</f>
        <v/>
      </c>
      <c r="H451" s="0" t="str">
        <f aca="false">IF(G451="","",IF(COUNTIF(G$2:G451,G451)=1,MAX(H$1:H450)+1,""))</f>
        <v/>
      </c>
    </row>
    <row r="452" customFormat="false" ht="15" hidden="false" customHeight="false" outlineLevel="0" collapsed="false">
      <c r="G452" s="0" t="str">
        <f aca="false">TRIM(Július!A101)</f>
        <v>Állateledel, jutalomfalat</v>
      </c>
      <c r="H452" s="0" t="str">
        <f aca="false">IF(G452="","",IF(COUNTIF(G$2:G452,G452)=1,MAX(H$1:H451)+1,""))</f>
        <v/>
      </c>
    </row>
    <row r="453" customFormat="false" ht="15" hidden="false" customHeight="false" outlineLevel="0" collapsed="false">
      <c r="G453" s="0" t="str">
        <f aca="false">TRIM(Július!A102)</f>
        <v>Állatorvos, oltások, gyógyszer</v>
      </c>
      <c r="H453" s="0" t="str">
        <f aca="false">IF(G453="","",IF(COUNTIF(G$2:G453,G453)=1,MAX(H$1:H452)+1,""))</f>
        <v/>
      </c>
    </row>
    <row r="454" customFormat="false" ht="15" hidden="false" customHeight="false" outlineLevel="0" collapsed="false">
      <c r="G454" s="0" t="str">
        <f aca="false">TRIM(Július!A103)</f>
        <v>Felszerelés, alom, játékok</v>
      </c>
      <c r="H454" s="0" t="str">
        <f aca="false">IF(G454="","",IF(COUNTIF(G$2:G454,G454)=1,MAX(H$1:H453)+1,""))</f>
        <v/>
      </c>
    </row>
    <row r="455" customFormat="false" ht="15" hidden="false" customHeight="false" outlineLevel="0" collapsed="false">
      <c r="G455" s="0" t="str">
        <f aca="false">TRIM(Július!A104)</f>
        <v>Kisállat-kozmetika, panzió, kutyaiskola</v>
      </c>
      <c r="H455" s="0" t="str">
        <f aca="false">IF(G455="","",IF(COUNTIF(G$2:G455,G455)=1,MAX(H$1:H454)+1,""))</f>
        <v/>
      </c>
    </row>
    <row r="456" customFormat="false" ht="15" hidden="false" customHeight="false" outlineLevel="0" collapsed="false">
      <c r="G456" s="0" t="str">
        <f aca="false">TRIM(Július!A105)</f>
        <v/>
      </c>
      <c r="H456" s="0" t="str">
        <f aca="false">IF(G456="","",IF(COUNTIF(G$2:G456,G456)=1,MAX(H$1:H455)+1,""))</f>
        <v/>
      </c>
    </row>
    <row r="457" customFormat="false" ht="15" hidden="false" customHeight="false" outlineLevel="0" collapsed="false">
      <c r="G457" s="0" t="str">
        <f aca="false">TRIM(Július!A108)</f>
        <v>Hobbi</v>
      </c>
      <c r="H457" s="0" t="str">
        <f aca="false">IF(G457="","",IF(COUNTIF(G$2:G457,G457)=1,MAX(H$1:H456)+1,""))</f>
        <v/>
      </c>
    </row>
    <row r="458" customFormat="false" ht="15" hidden="false" customHeight="false" outlineLevel="0" collapsed="false">
      <c r="G458" s="0" t="str">
        <f aca="false">TRIM(Július!A109)</f>
        <v>Szórakozás (mozi, színház, koncert, étterem)</v>
      </c>
      <c r="H458" s="0" t="str">
        <f aca="false">IF(G458="","",IF(COUNTIF(G$2:G458,G458)=1,MAX(H$1:H457)+1,""))</f>
        <v/>
      </c>
    </row>
    <row r="459" customFormat="false" ht="15" hidden="false" customHeight="false" outlineLevel="0" collapsed="false">
      <c r="G459" s="0" t="str">
        <f aca="false">TRIM(Július!A110)</f>
        <v>Nyaralás, utazás</v>
      </c>
      <c r="H459" s="0" t="str">
        <f aca="false">IF(G459="","",IF(COUNTIF(G$2:G459,G459)=1,MAX(H$1:H458)+1,""))</f>
        <v/>
      </c>
    </row>
    <row r="460" customFormat="false" ht="15" hidden="false" customHeight="false" outlineLevel="0" collapsed="false">
      <c r="G460" s="0" t="str">
        <f aca="false">TRIM(Július!A111)</f>
        <v/>
      </c>
      <c r="H460" s="0" t="str">
        <f aca="false">IF(G460="","",IF(COUNTIF(G$2:G460,G460)=1,MAX(H$1:H459)+1,""))</f>
        <v/>
      </c>
    </row>
    <row r="461" customFormat="false" ht="15" hidden="false" customHeight="false" outlineLevel="0" collapsed="false">
      <c r="G461" s="0" t="str">
        <f aca="false">TRIM(Július!A114)</f>
        <v>Ünnepek, ajándékok</v>
      </c>
      <c r="H461" s="0" t="str">
        <f aca="false">IF(G461="","",IF(COUNTIF(G$2:G461,G461)=1,MAX(H$1:H460)+1,""))</f>
        <v/>
      </c>
    </row>
    <row r="462" customFormat="false" ht="15" hidden="false" customHeight="false" outlineLevel="0" collapsed="false">
      <c r="G462" s="0" t="str">
        <f aca="false">TRIM(Július!A115)</f>
        <v>Egyéb kiadás</v>
      </c>
      <c r="H462" s="0" t="str">
        <f aca="false">IF(G462="","",IF(COUNTIF(G$2:G462,G462)=1,MAX(H$1:H461)+1,""))</f>
        <v/>
      </c>
    </row>
    <row r="463" customFormat="false" ht="15" hidden="false" customHeight="false" outlineLevel="0" collapsed="false">
      <c r="G463" s="0" t="str">
        <f aca="false">TRIM(Július!A116)</f>
        <v/>
      </c>
      <c r="H463" s="0" t="str">
        <f aca="false">IF(G463="","",IF(COUNTIF(G$2:G463,G463)=1,MAX(H$1:H462)+1,""))</f>
        <v/>
      </c>
    </row>
    <row r="464" customFormat="false" ht="15" hidden="false" customHeight="false" outlineLevel="0" collapsed="false">
      <c r="G464" s="0" t="str">
        <f aca="false">TRIM(Augusztus!A31)</f>
        <v>Albérleti díj / lakáshitel</v>
      </c>
      <c r="H464" s="0" t="str">
        <f aca="false">IF(G464="","",IF(COUNTIF(G$2:G464,G464)=1,MAX(H$1:H463)+1,""))</f>
        <v/>
      </c>
    </row>
    <row r="465" customFormat="false" ht="15" hidden="false" customHeight="false" outlineLevel="0" collapsed="false">
      <c r="G465" s="0" t="str">
        <f aca="false">TRIM(Augusztus!A32)</f>
        <v>Rezsi (közművek, közös költség)</v>
      </c>
      <c r="H465" s="0" t="str">
        <f aca="false">IF(G465="","",IF(COUNTIF(G$2:G465,G465)=1,MAX(H$1:H464)+1,""))</f>
        <v/>
      </c>
    </row>
    <row r="466" customFormat="false" ht="15" hidden="false" customHeight="false" outlineLevel="0" collapsed="false">
      <c r="G466" s="0" t="str">
        <f aca="false">TRIM(Augusztus!A33)</f>
        <v>Telefon, internet, digitális előfizetések</v>
      </c>
      <c r="H466" s="0" t="str">
        <f aca="false">IF(G466="","",IF(COUNTIF(G$2:G466,G466)=1,MAX(H$1:H465)+1,""))</f>
        <v/>
      </c>
    </row>
    <row r="467" customFormat="false" ht="15" hidden="false" customHeight="false" outlineLevel="0" collapsed="false">
      <c r="G467" s="0" t="str">
        <f aca="false">TRIM(Augusztus!A34)</f>
        <v/>
      </c>
      <c r="H467" s="0" t="str">
        <f aca="false">IF(G467="","",IF(COUNTIF(G$2:G467,G467)=1,MAX(H$1:H466)+1,""))</f>
        <v/>
      </c>
    </row>
    <row r="468" customFormat="false" ht="15" hidden="false" customHeight="false" outlineLevel="0" collapsed="false">
      <c r="G468" s="0" t="str">
        <f aca="false">TRIM(Augusztus!A37)</f>
        <v>Nagybevásárlások</v>
      </c>
      <c r="H468" s="0" t="str">
        <f aca="false">IF(G468="","",IF(COUNTIF(G$2:G468,G468)=1,MAX(H$1:H467)+1,""))</f>
        <v/>
      </c>
    </row>
    <row r="469" customFormat="false" ht="15" hidden="false" customHeight="false" outlineLevel="0" collapsed="false">
      <c r="G469" s="0" t="str">
        <f aca="false">TRIM(Augusztus!A38)</f>
        <v>Drogéria</v>
      </c>
      <c r="H469" s="0" t="str">
        <f aca="false">IF(G469="","",IF(COUNTIF(G$2:G469,G469)=1,MAX(H$1:H468)+1,""))</f>
        <v/>
      </c>
    </row>
    <row r="470" customFormat="false" ht="15" hidden="false" customHeight="false" outlineLevel="0" collapsed="false">
      <c r="G470" s="0" t="str">
        <f aca="false">TRIM(Augusztus!A39)</f>
        <v>Ételrendelés</v>
      </c>
      <c r="H470" s="0" t="str">
        <f aca="false">IF(G470="","",IF(COUNTIF(G$2:G470,G470)=1,MAX(H$1:H469)+1,""))</f>
        <v/>
      </c>
    </row>
    <row r="471" customFormat="false" ht="15" hidden="false" customHeight="false" outlineLevel="0" collapsed="false">
      <c r="G471" s="0" t="str">
        <f aca="false">TRIM(Augusztus!A40)</f>
        <v>Egyéb élelmiszer, bevásárlás</v>
      </c>
      <c r="H471" s="0" t="str">
        <f aca="false">IF(G471="","",IF(COUNTIF(G$2:G471,G471)=1,MAX(H$1:H470)+1,""))</f>
        <v/>
      </c>
    </row>
    <row r="472" customFormat="false" ht="15" hidden="false" customHeight="false" outlineLevel="0" collapsed="false">
      <c r="G472" s="0" t="str">
        <f aca="false">TRIM(Augusztus!A41)</f>
        <v/>
      </c>
      <c r="H472" s="0" t="str">
        <f aca="false">IF(G472="","",IF(COUNTIF(G$2:G472,G472)=1,MAX(H$1:H471)+1,""))</f>
        <v/>
      </c>
    </row>
    <row r="473" customFormat="false" ht="15" hidden="false" customHeight="false" outlineLevel="0" collapsed="false">
      <c r="G473" s="0" t="str">
        <f aca="false">TRIM(Augusztus!A44)</f>
        <v>Lakásbiztosítás</v>
      </c>
      <c r="H473" s="0" t="str">
        <f aca="false">IF(G473="","",IF(COUNTIF(G$2:G473,G473)=1,MAX(H$1:H472)+1,""))</f>
        <v/>
      </c>
    </row>
    <row r="474" customFormat="false" ht="15" hidden="false" customHeight="false" outlineLevel="0" collapsed="false">
      <c r="G474" s="0" t="str">
        <f aca="false">TRIM(Augusztus!A45)</f>
        <v>Életbiztosítás</v>
      </c>
      <c r="H474" s="0" t="str">
        <f aca="false">IF(G474="","",IF(COUNTIF(G$2:G474,G474)=1,MAX(H$1:H473)+1,""))</f>
        <v/>
      </c>
    </row>
    <row r="475" customFormat="false" ht="15" hidden="false" customHeight="false" outlineLevel="0" collapsed="false">
      <c r="G475" s="0" t="str">
        <f aca="false">TRIM(Augusztus!A46)</f>
        <v>Baleset- és betegségbiztosítás</v>
      </c>
      <c r="H475" s="0" t="str">
        <f aca="false">IF(G475="","",IF(COUNTIF(G$2:G475,G475)=1,MAX(H$1:H474)+1,""))</f>
        <v/>
      </c>
    </row>
    <row r="476" customFormat="false" ht="15" hidden="false" customHeight="false" outlineLevel="0" collapsed="false">
      <c r="G476" s="0" t="str">
        <f aca="false">TRIM(Augusztus!A47)</f>
        <v>Egészségbiztosítás</v>
      </c>
      <c r="H476" s="0" t="str">
        <f aca="false">IF(G476="","",IF(COUNTIF(G$2:G476,G476)=1,MAX(H$1:H475)+1,""))</f>
        <v/>
      </c>
    </row>
    <row r="477" customFormat="false" ht="15" hidden="false" customHeight="false" outlineLevel="0" collapsed="false">
      <c r="G477" s="0" t="str">
        <f aca="false">TRIM(Augusztus!A48)</f>
        <v>Hiteltörlesztés</v>
      </c>
      <c r="H477" s="0" t="str">
        <f aca="false">IF(G477="","",IF(COUNTIF(G$2:G477,G477)=1,MAX(H$1:H476)+1,""))</f>
        <v/>
      </c>
    </row>
    <row r="478" customFormat="false" ht="15" hidden="false" customHeight="false" outlineLevel="0" collapsed="false">
      <c r="G478" s="0" t="str">
        <f aca="false">TRIM(Augusztus!A49)</f>
        <v>Egyéb szerződés</v>
      </c>
      <c r="H478" s="0" t="str">
        <f aca="false">IF(G478="","",IF(COUNTIF(G$2:G478,G478)=1,MAX(H$1:H477)+1,""))</f>
        <v/>
      </c>
    </row>
    <row r="479" customFormat="false" ht="15" hidden="false" customHeight="false" outlineLevel="0" collapsed="false">
      <c r="G479" s="0" t="str">
        <f aca="false">TRIM(Augusztus!A50)</f>
        <v/>
      </c>
      <c r="H479" s="0" t="str">
        <f aca="false">IF(G479="","",IF(COUNTIF(G$2:G479,G479)=1,MAX(H$1:H478)+1,""))</f>
        <v/>
      </c>
    </row>
    <row r="480" customFormat="false" ht="15" hidden="false" customHeight="false" outlineLevel="0" collapsed="false">
      <c r="G480" s="0" t="str">
        <f aca="false">TRIM(Augusztus!A51)</f>
        <v/>
      </c>
      <c r="H480" s="0" t="str">
        <f aca="false">IF(G480="","",IF(COUNTIF(G$2:G480,G480)=1,MAX(H$1:H479)+1,""))</f>
        <v/>
      </c>
    </row>
    <row r="481" customFormat="false" ht="15" hidden="false" customHeight="false" outlineLevel="0" collapsed="false">
      <c r="G481" s="0" t="str">
        <f aca="false">TRIM(Augusztus!A54)</f>
        <v>Üzemanyag, elektromos töltés</v>
      </c>
      <c r="H481" s="0" t="str">
        <f aca="false">IF(G481="","",IF(COUNTIF(G$2:G481,G481)=1,MAX(H$1:H480)+1,""))</f>
        <v/>
      </c>
    </row>
    <row r="482" customFormat="false" ht="15" hidden="false" customHeight="false" outlineLevel="0" collapsed="false">
      <c r="G482" s="0" t="str">
        <f aca="false">TRIM(Augusztus!A55)</f>
        <v>Parkolás, útdíj, autópálya-matrica</v>
      </c>
      <c r="H482" s="0" t="str">
        <f aca="false">IF(G482="","",IF(COUNTIF(G$2:G482,G482)=1,MAX(H$1:H481)+1,""))</f>
        <v/>
      </c>
    </row>
    <row r="483" customFormat="false" ht="15" hidden="false" customHeight="false" outlineLevel="0" collapsed="false">
      <c r="G483" s="0" t="str">
        <f aca="false">TRIM(Augusztus!A56)</f>
        <v>Szerviz, karbantartás, gumicsere</v>
      </c>
      <c r="H483" s="0" t="str">
        <f aca="false">IF(G483="","",IF(COUNTIF(G$2:G483,G483)=1,MAX(H$1:H482)+1,""))</f>
        <v/>
      </c>
    </row>
    <row r="484" customFormat="false" ht="15" hidden="false" customHeight="false" outlineLevel="0" collapsed="false">
      <c r="G484" s="0" t="str">
        <f aca="false">TRIM(Augusztus!A57)</f>
        <v>KGFB (kötelező biztosítás)</v>
      </c>
      <c r="H484" s="0" t="str">
        <f aca="false">IF(G484="","",IF(COUNTIF(G$2:G484,G484)=1,MAX(H$1:H483)+1,""))</f>
        <v/>
      </c>
    </row>
    <row r="485" customFormat="false" ht="15" hidden="false" customHeight="false" outlineLevel="0" collapsed="false">
      <c r="G485" s="0" t="str">
        <f aca="false">TRIM(Augusztus!A58)</f>
        <v>CASCO</v>
      </c>
      <c r="H485" s="0" t="str">
        <f aca="false">IF(G485="","",IF(COUNTIF(G$2:G485,G485)=1,MAX(H$1:H484)+1,""))</f>
        <v/>
      </c>
    </row>
    <row r="486" customFormat="false" ht="15" hidden="false" customHeight="false" outlineLevel="0" collapsed="false">
      <c r="G486" s="0" t="str">
        <f aca="false">TRIM(Augusztus!A59)</f>
        <v>Gépjárműadó</v>
      </c>
      <c r="H486" s="0" t="str">
        <f aca="false">IF(G486="","",IF(COUNTIF(G$2:G486,G486)=1,MAX(H$1:H485)+1,""))</f>
        <v/>
      </c>
    </row>
    <row r="487" customFormat="false" ht="15" hidden="false" customHeight="false" outlineLevel="0" collapsed="false">
      <c r="G487" s="0" t="str">
        <f aca="false">TRIM(Augusztus!A60)</f>
        <v>Autóhitel, lízing részlet</v>
      </c>
      <c r="H487" s="0" t="str">
        <f aca="false">IF(G487="","",IF(COUNTIF(G$2:G487,G487)=1,MAX(H$1:H486)+1,""))</f>
        <v/>
      </c>
    </row>
    <row r="488" customFormat="false" ht="15" hidden="false" customHeight="false" outlineLevel="0" collapsed="false">
      <c r="G488" s="0" t="str">
        <f aca="false">TRIM(Augusztus!A61)</f>
        <v>Autómosás, egyéb autós költség</v>
      </c>
      <c r="H488" s="0" t="str">
        <f aca="false">IF(G488="","",IF(COUNTIF(G$2:G488,G488)=1,MAX(H$1:H487)+1,""))</f>
        <v/>
      </c>
    </row>
    <row r="489" customFormat="false" ht="15" hidden="false" customHeight="false" outlineLevel="0" collapsed="false">
      <c r="G489" s="0" t="str">
        <f aca="false">TRIM(Augusztus!A62)</f>
        <v>Tömegközlekedés, bérlet</v>
      </c>
      <c r="H489" s="0" t="str">
        <f aca="false">IF(G489="","",IF(COUNTIF(G$2:G489,G489)=1,MAX(H$1:H488)+1,""))</f>
        <v/>
      </c>
    </row>
    <row r="490" customFormat="false" ht="15" hidden="false" customHeight="false" outlineLevel="0" collapsed="false">
      <c r="G490" s="0" t="str">
        <f aca="false">TRIM(Augusztus!A63)</f>
        <v>Taxi, roller, bicikli, közösségi közlekedés</v>
      </c>
      <c r="H490" s="0" t="str">
        <f aca="false">IF(G490="","",IF(COUNTIF(G$2:G490,G490)=1,MAX(H$1:H489)+1,""))</f>
        <v/>
      </c>
    </row>
    <row r="491" customFormat="false" ht="15" hidden="false" customHeight="false" outlineLevel="0" collapsed="false">
      <c r="G491" s="0" t="str">
        <f aca="false">TRIM(Augusztus!A64)</f>
        <v/>
      </c>
      <c r="H491" s="0" t="str">
        <f aca="false">IF(G491="","",IF(COUNTIF(G$2:G491,G491)=1,MAX(H$1:H490)+1,""))</f>
        <v/>
      </c>
    </row>
    <row r="492" customFormat="false" ht="15" hidden="false" customHeight="false" outlineLevel="0" collapsed="false">
      <c r="G492" s="0" t="str">
        <f aca="false">TRIM(Augusztus!A65)</f>
        <v/>
      </c>
      <c r="H492" s="0" t="str">
        <f aca="false">IF(G492="","",IF(COUNTIF(G$2:G492,G492)=1,MAX(H$1:H491)+1,""))</f>
        <v/>
      </c>
    </row>
    <row r="493" customFormat="false" ht="15" hidden="false" customHeight="false" outlineLevel="0" collapsed="false">
      <c r="G493" s="0" t="str">
        <f aca="false">TRIM(Augusztus!A68)</f>
        <v>Gyerek ruha, cipő</v>
      </c>
      <c r="H493" s="0" t="str">
        <f aca="false">IF(G493="","",IF(COUNTIF(G$2:G493,G493)=1,MAX(H$1:H492)+1,""))</f>
        <v/>
      </c>
    </row>
    <row r="494" customFormat="false" ht="15" hidden="false" customHeight="false" outlineLevel="0" collapsed="false">
      <c r="G494" s="0" t="str">
        <f aca="false">TRIM(Augusztus!A69)</f>
        <v>Gyerek étkeztetés (menza)</v>
      </c>
      <c r="H494" s="0" t="str">
        <f aca="false">IF(G494="","",IF(COUNTIF(G$2:G494,G494)=1,MAX(H$1:H493)+1,""))</f>
        <v/>
      </c>
    </row>
    <row r="495" customFormat="false" ht="15" hidden="false" customHeight="false" outlineLevel="0" collapsed="false">
      <c r="G495" s="0" t="str">
        <f aca="false">TRIM(Augusztus!A70)</f>
        <v>Bölcsőde, óvoda, iskola díjai</v>
      </c>
      <c r="H495" s="0" t="str">
        <f aca="false">IF(G495="","",IF(COUNTIF(G$2:G495,G495)=1,MAX(H$1:H494)+1,""))</f>
        <v/>
      </c>
    </row>
    <row r="496" customFormat="false" ht="15" hidden="false" customHeight="false" outlineLevel="0" collapsed="false">
      <c r="G496" s="0" t="str">
        <f aca="false">TRIM(Augusztus!A71)</f>
        <v>Tankönyv, tanszer</v>
      </c>
      <c r="H496" s="0" t="str">
        <f aca="false">IF(G496="","",IF(COUNTIF(G$2:G496,G496)=1,MAX(H$1:H495)+1,""))</f>
        <v/>
      </c>
    </row>
    <row r="497" customFormat="false" ht="15" hidden="false" customHeight="false" outlineLevel="0" collapsed="false">
      <c r="G497" s="0" t="str">
        <f aca="false">TRIM(Augusztus!A72)</f>
        <v>Különórák, edzések</v>
      </c>
      <c r="H497" s="0" t="str">
        <f aca="false">IF(G497="","",IF(COUNTIF(G$2:G497,G497)=1,MAX(H$1:H496)+1,""))</f>
        <v/>
      </c>
    </row>
    <row r="498" customFormat="false" ht="15" hidden="false" customHeight="false" outlineLevel="0" collapsed="false">
      <c r="G498" s="0" t="str">
        <f aca="false">TRIM(Augusztus!A73)</f>
        <v>Magánóra, korrepetálás</v>
      </c>
      <c r="H498" s="0" t="str">
        <f aca="false">IF(G498="","",IF(COUNTIF(G$2:G498,G498)=1,MAX(H$1:H497)+1,""))</f>
        <v/>
      </c>
    </row>
    <row r="499" customFormat="false" ht="15" hidden="false" customHeight="false" outlineLevel="0" collapsed="false">
      <c r="G499" s="0" t="str">
        <f aca="false">TRIM(Augusztus!A74)</f>
        <v>Zsebpénz</v>
      </c>
      <c r="H499" s="0" t="str">
        <f aca="false">IF(G499="","",IF(COUNTIF(G$2:G499,G499)=1,MAX(H$1:H498)+1,""))</f>
        <v/>
      </c>
    </row>
    <row r="500" customFormat="false" ht="15" hidden="false" customHeight="false" outlineLevel="0" collapsed="false">
      <c r="G500" s="0" t="str">
        <f aca="false">TRIM(Augusztus!A75)</f>
        <v>Játékok, szórakozás</v>
      </c>
      <c r="H500" s="0" t="str">
        <f aca="false">IF(G500="","",IF(COUNTIF(G$2:G500,G500)=1,MAX(H$1:H499)+1,""))</f>
        <v/>
      </c>
    </row>
    <row r="501" customFormat="false" ht="15" hidden="false" customHeight="false" outlineLevel="0" collapsed="false">
      <c r="G501" s="0" t="str">
        <f aca="false">TRIM(Augusztus!A76)</f>
        <v/>
      </c>
      <c r="H501" s="0" t="str">
        <f aca="false">IF(G501="","",IF(COUNTIF(G$2:G501,G501)=1,MAX(H$1:H500)+1,""))</f>
        <v/>
      </c>
    </row>
    <row r="502" customFormat="false" ht="15" hidden="false" customHeight="false" outlineLevel="0" collapsed="false">
      <c r="G502" s="0" t="str">
        <f aca="false">TRIM(Augusztus!A77)</f>
        <v/>
      </c>
      <c r="H502" s="0" t="str">
        <f aca="false">IF(G502="","",IF(COUNTIF(G$2:G502,G502)=1,MAX(H$1:H501)+1,""))</f>
        <v/>
      </c>
    </row>
    <row r="503" customFormat="false" ht="15" hidden="false" customHeight="false" outlineLevel="0" collapsed="false">
      <c r="G503" s="0" t="str">
        <f aca="false">TRIM(Augusztus!A78)</f>
        <v/>
      </c>
      <c r="H503" s="0" t="str">
        <f aca="false">IF(G503="","",IF(COUNTIF(G$2:G503,G503)=1,MAX(H$1:H502)+1,""))</f>
        <v/>
      </c>
    </row>
    <row r="504" customFormat="false" ht="15" hidden="false" customHeight="false" outlineLevel="0" collapsed="false">
      <c r="G504" s="0" t="str">
        <f aca="false">TRIM(Augusztus!A81)</f>
        <v>Ruha</v>
      </c>
      <c r="H504" s="0" t="str">
        <f aca="false">IF(G504="","",IF(COUNTIF(G$2:G504,G504)=1,MAX(H$1:H503)+1,""))</f>
        <v/>
      </c>
    </row>
    <row r="505" customFormat="false" ht="15" hidden="false" customHeight="false" outlineLevel="0" collapsed="false">
      <c r="G505" s="0" t="str">
        <f aca="false">TRIM(Augusztus!A82)</f>
        <v>Cipő</v>
      </c>
      <c r="H505" s="0" t="str">
        <f aca="false">IF(G505="","",IF(COUNTIF(G$2:G505,G505)=1,MAX(H$1:H504)+1,""))</f>
        <v/>
      </c>
    </row>
    <row r="506" customFormat="false" ht="15" hidden="false" customHeight="false" outlineLevel="0" collapsed="false">
      <c r="G506" s="0" t="str">
        <f aca="false">TRIM(Augusztus!A83)</f>
        <v>Kiegészítők (táska, ékszer, óra)</v>
      </c>
      <c r="H506" s="0" t="str">
        <f aca="false">IF(G506="","",IF(COUNTIF(G$2:G506,G506)=1,MAX(H$1:H505)+1,""))</f>
        <v/>
      </c>
    </row>
    <row r="507" customFormat="false" ht="15" hidden="false" customHeight="false" outlineLevel="0" collapsed="false">
      <c r="G507" s="0" t="str">
        <f aca="false">TRIM(Augusztus!A84)</f>
        <v/>
      </c>
      <c r="H507" s="0" t="str">
        <f aca="false">IF(G507="","",IF(COUNTIF(G$2:G507,G507)=1,MAX(H$1:H506)+1,""))</f>
        <v/>
      </c>
    </row>
    <row r="508" customFormat="false" ht="15" hidden="false" customHeight="false" outlineLevel="0" collapsed="false">
      <c r="G508" s="0" t="str">
        <f aca="false">TRIM(Augusztus!A87)</f>
        <v>Fodrász, borbély</v>
      </c>
      <c r="H508" s="0" t="str">
        <f aca="false">IF(G508="","",IF(COUNTIF(G$2:G508,G508)=1,MAX(H$1:H507)+1,""))</f>
        <v/>
      </c>
    </row>
    <row r="509" customFormat="false" ht="15" hidden="false" customHeight="false" outlineLevel="0" collapsed="false">
      <c r="G509" s="0" t="str">
        <f aca="false">TRIM(Augusztus!A88)</f>
        <v>Kozmetikus, manikűr, pedikűr</v>
      </c>
      <c r="H509" s="0" t="str">
        <f aca="false">IF(G509="","",IF(COUNTIF(G$2:G509,G509)=1,MAX(H$1:H508)+1,""))</f>
        <v/>
      </c>
    </row>
    <row r="510" customFormat="false" ht="15" hidden="false" customHeight="false" outlineLevel="0" collapsed="false">
      <c r="G510" s="0" t="str">
        <f aca="false">TRIM(Augusztus!A89)</f>
        <v>Kozmetikumok, parfüm</v>
      </c>
      <c r="H510" s="0" t="str">
        <f aca="false">IF(G510="","",IF(COUNTIF(G$2:G510,G510)=1,MAX(H$1:H509)+1,""))</f>
        <v/>
      </c>
    </row>
    <row r="511" customFormat="false" ht="15" hidden="false" customHeight="false" outlineLevel="0" collapsed="false">
      <c r="G511" s="0" t="str">
        <f aca="false">TRIM(Augusztus!A90)</f>
        <v>Edzés, sport, bérlet</v>
      </c>
      <c r="H511" s="0" t="str">
        <f aca="false">IF(G511="","",IF(COUNTIF(G$2:G511,G511)=1,MAX(H$1:H510)+1,""))</f>
        <v/>
      </c>
    </row>
    <row r="512" customFormat="false" ht="15" hidden="false" customHeight="false" outlineLevel="0" collapsed="false">
      <c r="G512" s="0" t="str">
        <f aca="false">TRIM(Augusztus!A91)</f>
        <v>Gyógyszer, vitamin</v>
      </c>
      <c r="H512" s="0" t="str">
        <f aca="false">IF(G512="","",IF(COUNTIF(G$2:G512,G512)=1,MAX(H$1:H511)+1,""))</f>
        <v/>
      </c>
    </row>
    <row r="513" customFormat="false" ht="15" hidden="false" customHeight="false" outlineLevel="0" collapsed="false">
      <c r="G513" s="0" t="str">
        <f aca="false">TRIM(Augusztus!A92)</f>
        <v>Orvos, fogorvos, magánrendelés</v>
      </c>
      <c r="H513" s="0" t="str">
        <f aca="false">IF(G513="","",IF(COUNTIF(G$2:G513,G513)=1,MAX(H$1:H512)+1,""))</f>
        <v/>
      </c>
    </row>
    <row r="514" customFormat="false" ht="15" hidden="false" customHeight="false" outlineLevel="0" collapsed="false">
      <c r="G514" s="0" t="str">
        <f aca="false">TRIM(Augusztus!A93)</f>
        <v/>
      </c>
      <c r="H514" s="0" t="str">
        <f aca="false">IF(G514="","",IF(COUNTIF(G$2:G514,G514)=1,MAX(H$1:H513)+1,""))</f>
        <v/>
      </c>
    </row>
    <row r="515" customFormat="false" ht="15" hidden="false" customHeight="false" outlineLevel="0" collapsed="false">
      <c r="G515" s="0" t="str">
        <f aca="false">TRIM(Augusztus!A96)</f>
        <v>Cigaretta, dohány</v>
      </c>
      <c r="H515" s="0" t="str">
        <f aca="false">IF(G515="","",IF(COUNTIF(G$2:G515,G515)=1,MAX(H$1:H514)+1,""))</f>
        <v/>
      </c>
    </row>
    <row r="516" customFormat="false" ht="15" hidden="false" customHeight="false" outlineLevel="0" collapsed="false">
      <c r="G516" s="0" t="str">
        <f aca="false">TRIM(Augusztus!A97)</f>
        <v>E-cigaretta, hevített dohánytermék</v>
      </c>
      <c r="H516" s="0" t="str">
        <f aca="false">IF(G516="","",IF(COUNTIF(G$2:G516,G516)=1,MAX(H$1:H515)+1,""))</f>
        <v/>
      </c>
    </row>
    <row r="517" customFormat="false" ht="15" hidden="false" customHeight="false" outlineLevel="0" collapsed="false">
      <c r="G517" s="0" t="str">
        <f aca="false">TRIM(Augusztus!A98)</f>
        <v/>
      </c>
      <c r="H517" s="0" t="str">
        <f aca="false">IF(G517="","",IF(COUNTIF(G$2:G517,G517)=1,MAX(H$1:H516)+1,""))</f>
        <v/>
      </c>
    </row>
    <row r="518" customFormat="false" ht="15" hidden="false" customHeight="false" outlineLevel="0" collapsed="false">
      <c r="G518" s="0" t="str">
        <f aca="false">TRIM(Augusztus!A101)</f>
        <v>Állateledel, jutalomfalat</v>
      </c>
      <c r="H518" s="0" t="str">
        <f aca="false">IF(G518="","",IF(COUNTIF(G$2:G518,G518)=1,MAX(H$1:H517)+1,""))</f>
        <v/>
      </c>
    </row>
    <row r="519" customFormat="false" ht="15" hidden="false" customHeight="false" outlineLevel="0" collapsed="false">
      <c r="G519" s="0" t="str">
        <f aca="false">TRIM(Augusztus!A102)</f>
        <v>Állatorvos, oltások, gyógyszer</v>
      </c>
      <c r="H519" s="0" t="str">
        <f aca="false">IF(G519="","",IF(COUNTIF(G$2:G519,G519)=1,MAX(H$1:H518)+1,""))</f>
        <v/>
      </c>
    </row>
    <row r="520" customFormat="false" ht="15" hidden="false" customHeight="false" outlineLevel="0" collapsed="false">
      <c r="G520" s="0" t="str">
        <f aca="false">TRIM(Augusztus!A103)</f>
        <v>Felszerelés, alom, játékok</v>
      </c>
      <c r="H520" s="0" t="str">
        <f aca="false">IF(G520="","",IF(COUNTIF(G$2:G520,G520)=1,MAX(H$1:H519)+1,""))</f>
        <v/>
      </c>
    </row>
    <row r="521" customFormat="false" ht="15" hidden="false" customHeight="false" outlineLevel="0" collapsed="false">
      <c r="G521" s="0" t="str">
        <f aca="false">TRIM(Augusztus!A104)</f>
        <v>Kisállat-kozmetika, panzió, kutyaiskola</v>
      </c>
      <c r="H521" s="0" t="str">
        <f aca="false">IF(G521="","",IF(COUNTIF(G$2:G521,G521)=1,MAX(H$1:H520)+1,""))</f>
        <v/>
      </c>
    </row>
    <row r="522" customFormat="false" ht="15" hidden="false" customHeight="false" outlineLevel="0" collapsed="false">
      <c r="G522" s="0" t="str">
        <f aca="false">TRIM(Augusztus!A105)</f>
        <v/>
      </c>
      <c r="H522" s="0" t="str">
        <f aca="false">IF(G522="","",IF(COUNTIF(G$2:G522,G522)=1,MAX(H$1:H521)+1,""))</f>
        <v/>
      </c>
    </row>
    <row r="523" customFormat="false" ht="15" hidden="false" customHeight="false" outlineLevel="0" collapsed="false">
      <c r="G523" s="0" t="str">
        <f aca="false">TRIM(Augusztus!A108)</f>
        <v>Hobbi</v>
      </c>
      <c r="H523" s="0" t="str">
        <f aca="false">IF(G523="","",IF(COUNTIF(G$2:G523,G523)=1,MAX(H$1:H522)+1,""))</f>
        <v/>
      </c>
    </row>
    <row r="524" customFormat="false" ht="15" hidden="false" customHeight="false" outlineLevel="0" collapsed="false">
      <c r="G524" s="0" t="str">
        <f aca="false">TRIM(Augusztus!A109)</f>
        <v>Szórakozás (mozi, színház, koncert, étterem)</v>
      </c>
      <c r="H524" s="0" t="str">
        <f aca="false">IF(G524="","",IF(COUNTIF(G$2:G524,G524)=1,MAX(H$1:H523)+1,""))</f>
        <v/>
      </c>
    </row>
    <row r="525" customFormat="false" ht="15" hidden="false" customHeight="false" outlineLevel="0" collapsed="false">
      <c r="G525" s="0" t="str">
        <f aca="false">TRIM(Augusztus!A110)</f>
        <v>Nyaralás, utazás</v>
      </c>
      <c r="H525" s="0" t="str">
        <f aca="false">IF(G525="","",IF(COUNTIF(G$2:G525,G525)=1,MAX(H$1:H524)+1,""))</f>
        <v/>
      </c>
    </row>
    <row r="526" customFormat="false" ht="15" hidden="false" customHeight="false" outlineLevel="0" collapsed="false">
      <c r="G526" s="0" t="str">
        <f aca="false">TRIM(Augusztus!A111)</f>
        <v/>
      </c>
      <c r="H526" s="0" t="str">
        <f aca="false">IF(G526="","",IF(COUNTIF(G$2:G526,G526)=1,MAX(H$1:H525)+1,""))</f>
        <v/>
      </c>
    </row>
    <row r="527" customFormat="false" ht="15" hidden="false" customHeight="false" outlineLevel="0" collapsed="false">
      <c r="G527" s="0" t="str">
        <f aca="false">TRIM(Augusztus!A114)</f>
        <v>Ünnepek, ajándékok</v>
      </c>
      <c r="H527" s="0" t="str">
        <f aca="false">IF(G527="","",IF(COUNTIF(G$2:G527,G527)=1,MAX(H$1:H526)+1,""))</f>
        <v/>
      </c>
    </row>
    <row r="528" customFormat="false" ht="15" hidden="false" customHeight="false" outlineLevel="0" collapsed="false">
      <c r="G528" s="0" t="str">
        <f aca="false">TRIM(Augusztus!A115)</f>
        <v>Egyéb kiadás</v>
      </c>
      <c r="H528" s="0" t="str">
        <f aca="false">IF(G528="","",IF(COUNTIF(G$2:G528,G528)=1,MAX(H$1:H527)+1,""))</f>
        <v/>
      </c>
    </row>
    <row r="529" customFormat="false" ht="15" hidden="false" customHeight="false" outlineLevel="0" collapsed="false">
      <c r="G529" s="0" t="str">
        <f aca="false">TRIM(Augusztus!A116)</f>
        <v/>
      </c>
      <c r="H529" s="0" t="str">
        <f aca="false">IF(G529="","",IF(COUNTIF(G$2:G529,G529)=1,MAX(H$1:H528)+1,""))</f>
        <v/>
      </c>
    </row>
    <row r="530" customFormat="false" ht="15" hidden="false" customHeight="false" outlineLevel="0" collapsed="false">
      <c r="G530" s="0" t="str">
        <f aca="false">TRIM(Szeptember!A31)</f>
        <v>Albérleti díj / lakáshitel</v>
      </c>
      <c r="H530" s="0" t="str">
        <f aca="false">IF(G530="","",IF(COUNTIF(G$2:G530,G530)=1,MAX(H$1:H529)+1,""))</f>
        <v/>
      </c>
    </row>
    <row r="531" customFormat="false" ht="15" hidden="false" customHeight="false" outlineLevel="0" collapsed="false">
      <c r="G531" s="0" t="str">
        <f aca="false">TRIM(Szeptember!A32)</f>
        <v>Rezsi (közművek, közös költség)</v>
      </c>
      <c r="H531" s="0" t="str">
        <f aca="false">IF(G531="","",IF(COUNTIF(G$2:G531,G531)=1,MAX(H$1:H530)+1,""))</f>
        <v/>
      </c>
    </row>
    <row r="532" customFormat="false" ht="15" hidden="false" customHeight="false" outlineLevel="0" collapsed="false">
      <c r="G532" s="0" t="str">
        <f aca="false">TRIM(Szeptember!A33)</f>
        <v>Telefon, internet, digitális előfizetések</v>
      </c>
      <c r="H532" s="0" t="str">
        <f aca="false">IF(G532="","",IF(COUNTIF(G$2:G532,G532)=1,MAX(H$1:H531)+1,""))</f>
        <v/>
      </c>
    </row>
    <row r="533" customFormat="false" ht="15" hidden="false" customHeight="false" outlineLevel="0" collapsed="false">
      <c r="G533" s="0" t="str">
        <f aca="false">TRIM(Szeptember!A34)</f>
        <v/>
      </c>
      <c r="H533" s="0" t="str">
        <f aca="false">IF(G533="","",IF(COUNTIF(G$2:G533,G533)=1,MAX(H$1:H532)+1,""))</f>
        <v/>
      </c>
    </row>
    <row r="534" customFormat="false" ht="15" hidden="false" customHeight="false" outlineLevel="0" collapsed="false">
      <c r="G534" s="0" t="str">
        <f aca="false">TRIM(Szeptember!A37)</f>
        <v>Nagybevásárlások</v>
      </c>
      <c r="H534" s="0" t="str">
        <f aca="false">IF(G534="","",IF(COUNTIF(G$2:G534,G534)=1,MAX(H$1:H533)+1,""))</f>
        <v/>
      </c>
    </row>
    <row r="535" customFormat="false" ht="15" hidden="false" customHeight="false" outlineLevel="0" collapsed="false">
      <c r="G535" s="0" t="str">
        <f aca="false">TRIM(Szeptember!A38)</f>
        <v>Drogéria</v>
      </c>
      <c r="H535" s="0" t="str">
        <f aca="false">IF(G535="","",IF(COUNTIF(G$2:G535,G535)=1,MAX(H$1:H534)+1,""))</f>
        <v/>
      </c>
    </row>
    <row r="536" customFormat="false" ht="15" hidden="false" customHeight="false" outlineLevel="0" collapsed="false">
      <c r="G536" s="0" t="str">
        <f aca="false">TRIM(Szeptember!A39)</f>
        <v>Ételrendelés</v>
      </c>
      <c r="H536" s="0" t="str">
        <f aca="false">IF(G536="","",IF(COUNTIF(G$2:G536,G536)=1,MAX(H$1:H535)+1,""))</f>
        <v/>
      </c>
    </row>
    <row r="537" customFormat="false" ht="15" hidden="false" customHeight="false" outlineLevel="0" collapsed="false">
      <c r="G537" s="0" t="str">
        <f aca="false">TRIM(Szeptember!A40)</f>
        <v>Egyéb élelmiszer, bevásárlás</v>
      </c>
      <c r="H537" s="0" t="str">
        <f aca="false">IF(G537="","",IF(COUNTIF(G$2:G537,G537)=1,MAX(H$1:H536)+1,""))</f>
        <v/>
      </c>
    </row>
    <row r="538" customFormat="false" ht="15" hidden="false" customHeight="false" outlineLevel="0" collapsed="false">
      <c r="G538" s="0" t="str">
        <f aca="false">TRIM(Szeptember!A41)</f>
        <v/>
      </c>
      <c r="H538" s="0" t="str">
        <f aca="false">IF(G538="","",IF(COUNTIF(G$2:G538,G538)=1,MAX(H$1:H537)+1,""))</f>
        <v/>
      </c>
    </row>
    <row r="539" customFormat="false" ht="15" hidden="false" customHeight="false" outlineLevel="0" collapsed="false">
      <c r="G539" s="0" t="str">
        <f aca="false">TRIM(Szeptember!A44)</f>
        <v>Lakásbiztosítás</v>
      </c>
      <c r="H539" s="0" t="str">
        <f aca="false">IF(G539="","",IF(COUNTIF(G$2:G539,G539)=1,MAX(H$1:H538)+1,""))</f>
        <v/>
      </c>
    </row>
    <row r="540" customFormat="false" ht="15" hidden="false" customHeight="false" outlineLevel="0" collapsed="false">
      <c r="G540" s="0" t="str">
        <f aca="false">TRIM(Szeptember!A45)</f>
        <v>Életbiztosítás</v>
      </c>
      <c r="H540" s="0" t="str">
        <f aca="false">IF(G540="","",IF(COUNTIF(G$2:G540,G540)=1,MAX(H$1:H539)+1,""))</f>
        <v/>
      </c>
    </row>
    <row r="541" customFormat="false" ht="15" hidden="false" customHeight="false" outlineLevel="0" collapsed="false">
      <c r="G541" s="0" t="str">
        <f aca="false">TRIM(Szeptember!A46)</f>
        <v>Baleset- és betegségbiztosítás</v>
      </c>
      <c r="H541" s="0" t="str">
        <f aca="false">IF(G541="","",IF(COUNTIF(G$2:G541,G541)=1,MAX(H$1:H540)+1,""))</f>
        <v/>
      </c>
    </row>
    <row r="542" customFormat="false" ht="15" hidden="false" customHeight="false" outlineLevel="0" collapsed="false">
      <c r="G542" s="0" t="str">
        <f aca="false">TRIM(Szeptember!A47)</f>
        <v>Egészségbiztosítás</v>
      </c>
      <c r="H542" s="0" t="str">
        <f aca="false">IF(G542="","",IF(COUNTIF(G$2:G542,G542)=1,MAX(H$1:H541)+1,""))</f>
        <v/>
      </c>
    </row>
    <row r="543" customFormat="false" ht="15" hidden="false" customHeight="false" outlineLevel="0" collapsed="false">
      <c r="G543" s="0" t="str">
        <f aca="false">TRIM(Szeptember!A48)</f>
        <v>Hiteltörlesztés</v>
      </c>
      <c r="H543" s="0" t="str">
        <f aca="false">IF(G543="","",IF(COUNTIF(G$2:G543,G543)=1,MAX(H$1:H542)+1,""))</f>
        <v/>
      </c>
    </row>
    <row r="544" customFormat="false" ht="15" hidden="false" customHeight="false" outlineLevel="0" collapsed="false">
      <c r="G544" s="0" t="str">
        <f aca="false">TRIM(Szeptember!A49)</f>
        <v>Egyéb szerződés</v>
      </c>
      <c r="H544" s="0" t="str">
        <f aca="false">IF(G544="","",IF(COUNTIF(G$2:G544,G544)=1,MAX(H$1:H543)+1,""))</f>
        <v/>
      </c>
    </row>
    <row r="545" customFormat="false" ht="15" hidden="false" customHeight="false" outlineLevel="0" collapsed="false">
      <c r="G545" s="0" t="str">
        <f aca="false">TRIM(Szeptember!A50)</f>
        <v/>
      </c>
      <c r="H545" s="0" t="str">
        <f aca="false">IF(G545="","",IF(COUNTIF(G$2:G545,G545)=1,MAX(H$1:H544)+1,""))</f>
        <v/>
      </c>
    </row>
    <row r="546" customFormat="false" ht="15" hidden="false" customHeight="false" outlineLevel="0" collapsed="false">
      <c r="G546" s="0" t="str">
        <f aca="false">TRIM(Szeptember!A51)</f>
        <v/>
      </c>
      <c r="H546" s="0" t="str">
        <f aca="false">IF(G546="","",IF(COUNTIF(G$2:G546,G546)=1,MAX(H$1:H545)+1,""))</f>
        <v/>
      </c>
    </row>
    <row r="547" customFormat="false" ht="15" hidden="false" customHeight="false" outlineLevel="0" collapsed="false">
      <c r="G547" s="0" t="str">
        <f aca="false">TRIM(Szeptember!A54)</f>
        <v>Üzemanyag, elektromos töltés</v>
      </c>
      <c r="H547" s="0" t="str">
        <f aca="false">IF(G547="","",IF(COUNTIF(G$2:G547,G547)=1,MAX(H$1:H546)+1,""))</f>
        <v/>
      </c>
    </row>
    <row r="548" customFormat="false" ht="15" hidden="false" customHeight="false" outlineLevel="0" collapsed="false">
      <c r="G548" s="0" t="str">
        <f aca="false">TRIM(Szeptember!A55)</f>
        <v>Parkolás, útdíj, autópálya-matrica</v>
      </c>
      <c r="H548" s="0" t="str">
        <f aca="false">IF(G548="","",IF(COUNTIF(G$2:G548,G548)=1,MAX(H$1:H547)+1,""))</f>
        <v/>
      </c>
    </row>
    <row r="549" customFormat="false" ht="15" hidden="false" customHeight="false" outlineLevel="0" collapsed="false">
      <c r="G549" s="0" t="str">
        <f aca="false">TRIM(Szeptember!A56)</f>
        <v>Szerviz, karbantartás, gumicsere</v>
      </c>
      <c r="H549" s="0" t="str">
        <f aca="false">IF(G549="","",IF(COUNTIF(G$2:G549,G549)=1,MAX(H$1:H548)+1,""))</f>
        <v/>
      </c>
    </row>
    <row r="550" customFormat="false" ht="15" hidden="false" customHeight="false" outlineLevel="0" collapsed="false">
      <c r="G550" s="0" t="str">
        <f aca="false">TRIM(Szeptember!A57)</f>
        <v>KGFB (kötelező biztosítás)</v>
      </c>
      <c r="H550" s="0" t="str">
        <f aca="false">IF(G550="","",IF(COUNTIF(G$2:G550,G550)=1,MAX(H$1:H549)+1,""))</f>
        <v/>
      </c>
    </row>
    <row r="551" customFormat="false" ht="15" hidden="false" customHeight="false" outlineLevel="0" collapsed="false">
      <c r="G551" s="0" t="str">
        <f aca="false">TRIM(Szeptember!A58)</f>
        <v>CASCO</v>
      </c>
      <c r="H551" s="0" t="str">
        <f aca="false">IF(G551="","",IF(COUNTIF(G$2:G551,G551)=1,MAX(H$1:H550)+1,""))</f>
        <v/>
      </c>
    </row>
    <row r="552" customFormat="false" ht="15" hidden="false" customHeight="false" outlineLevel="0" collapsed="false">
      <c r="G552" s="0" t="str">
        <f aca="false">TRIM(Szeptember!A59)</f>
        <v>Gépjárműadó</v>
      </c>
      <c r="H552" s="0" t="str">
        <f aca="false">IF(G552="","",IF(COUNTIF(G$2:G552,G552)=1,MAX(H$1:H551)+1,""))</f>
        <v/>
      </c>
    </row>
    <row r="553" customFormat="false" ht="15" hidden="false" customHeight="false" outlineLevel="0" collapsed="false">
      <c r="G553" s="0" t="str">
        <f aca="false">TRIM(Szeptember!A60)</f>
        <v>Autóhitel, lízing részlet</v>
      </c>
      <c r="H553" s="0" t="str">
        <f aca="false">IF(G553="","",IF(COUNTIF(G$2:G553,G553)=1,MAX(H$1:H552)+1,""))</f>
        <v/>
      </c>
    </row>
    <row r="554" customFormat="false" ht="15" hidden="false" customHeight="false" outlineLevel="0" collapsed="false">
      <c r="G554" s="0" t="str">
        <f aca="false">TRIM(Szeptember!A61)</f>
        <v>Autómosás, egyéb autós költség</v>
      </c>
      <c r="H554" s="0" t="str">
        <f aca="false">IF(G554="","",IF(COUNTIF(G$2:G554,G554)=1,MAX(H$1:H553)+1,""))</f>
        <v/>
      </c>
    </row>
    <row r="555" customFormat="false" ht="15" hidden="false" customHeight="false" outlineLevel="0" collapsed="false">
      <c r="G555" s="0" t="str">
        <f aca="false">TRIM(Szeptember!A62)</f>
        <v>Tömegközlekedés, bérlet</v>
      </c>
      <c r="H555" s="0" t="str">
        <f aca="false">IF(G555="","",IF(COUNTIF(G$2:G555,G555)=1,MAX(H$1:H554)+1,""))</f>
        <v/>
      </c>
    </row>
    <row r="556" customFormat="false" ht="15" hidden="false" customHeight="false" outlineLevel="0" collapsed="false">
      <c r="G556" s="0" t="str">
        <f aca="false">TRIM(Szeptember!A63)</f>
        <v>Taxi, roller, bicikli, közösségi közlekedés</v>
      </c>
      <c r="H556" s="0" t="str">
        <f aca="false">IF(G556="","",IF(COUNTIF(G$2:G556,G556)=1,MAX(H$1:H555)+1,""))</f>
        <v/>
      </c>
    </row>
    <row r="557" customFormat="false" ht="15" hidden="false" customHeight="false" outlineLevel="0" collapsed="false">
      <c r="G557" s="0" t="str">
        <f aca="false">TRIM(Szeptember!A64)</f>
        <v/>
      </c>
      <c r="H557" s="0" t="str">
        <f aca="false">IF(G557="","",IF(COUNTIF(G$2:G557,G557)=1,MAX(H$1:H556)+1,""))</f>
        <v/>
      </c>
    </row>
    <row r="558" customFormat="false" ht="15" hidden="false" customHeight="false" outlineLevel="0" collapsed="false">
      <c r="G558" s="0" t="str">
        <f aca="false">TRIM(Szeptember!A65)</f>
        <v/>
      </c>
      <c r="H558" s="0" t="str">
        <f aca="false">IF(G558="","",IF(COUNTIF(G$2:G558,G558)=1,MAX(H$1:H557)+1,""))</f>
        <v/>
      </c>
    </row>
    <row r="559" customFormat="false" ht="15" hidden="false" customHeight="false" outlineLevel="0" collapsed="false">
      <c r="G559" s="0" t="str">
        <f aca="false">TRIM(Szeptember!A68)</f>
        <v>Gyerek ruha, cipő</v>
      </c>
      <c r="H559" s="0" t="str">
        <f aca="false">IF(G559="","",IF(COUNTIF(G$2:G559,G559)=1,MAX(H$1:H558)+1,""))</f>
        <v/>
      </c>
    </row>
    <row r="560" customFormat="false" ht="15" hidden="false" customHeight="false" outlineLevel="0" collapsed="false">
      <c r="G560" s="0" t="str">
        <f aca="false">TRIM(Szeptember!A69)</f>
        <v>Gyerek étkeztetés (menza)</v>
      </c>
      <c r="H560" s="0" t="str">
        <f aca="false">IF(G560="","",IF(COUNTIF(G$2:G560,G560)=1,MAX(H$1:H559)+1,""))</f>
        <v/>
      </c>
    </row>
    <row r="561" customFormat="false" ht="15" hidden="false" customHeight="false" outlineLevel="0" collapsed="false">
      <c r="G561" s="0" t="str">
        <f aca="false">TRIM(Szeptember!A70)</f>
        <v>Bölcsőde, óvoda, iskola díjai</v>
      </c>
      <c r="H561" s="0" t="str">
        <f aca="false">IF(G561="","",IF(COUNTIF(G$2:G561,G561)=1,MAX(H$1:H560)+1,""))</f>
        <v/>
      </c>
    </row>
    <row r="562" customFormat="false" ht="15" hidden="false" customHeight="false" outlineLevel="0" collapsed="false">
      <c r="G562" s="0" t="str">
        <f aca="false">TRIM(Szeptember!A71)</f>
        <v>Tankönyv, tanszer</v>
      </c>
      <c r="H562" s="0" t="str">
        <f aca="false">IF(G562="","",IF(COUNTIF(G$2:G562,G562)=1,MAX(H$1:H561)+1,""))</f>
        <v/>
      </c>
    </row>
    <row r="563" customFormat="false" ht="15" hidden="false" customHeight="false" outlineLevel="0" collapsed="false">
      <c r="G563" s="0" t="str">
        <f aca="false">TRIM(Szeptember!A72)</f>
        <v>Különórák, edzések</v>
      </c>
      <c r="H563" s="0" t="str">
        <f aca="false">IF(G563="","",IF(COUNTIF(G$2:G563,G563)=1,MAX(H$1:H562)+1,""))</f>
        <v/>
      </c>
    </row>
    <row r="564" customFormat="false" ht="15" hidden="false" customHeight="false" outlineLevel="0" collapsed="false">
      <c r="G564" s="0" t="str">
        <f aca="false">TRIM(Szeptember!A73)</f>
        <v>Magánóra, korrepetálás</v>
      </c>
      <c r="H564" s="0" t="str">
        <f aca="false">IF(G564="","",IF(COUNTIF(G$2:G564,G564)=1,MAX(H$1:H563)+1,""))</f>
        <v/>
      </c>
    </row>
    <row r="565" customFormat="false" ht="15" hidden="false" customHeight="false" outlineLevel="0" collapsed="false">
      <c r="G565" s="0" t="str">
        <f aca="false">TRIM(Szeptember!A74)</f>
        <v>Zsebpénz</v>
      </c>
      <c r="H565" s="0" t="str">
        <f aca="false">IF(G565="","",IF(COUNTIF(G$2:G565,G565)=1,MAX(H$1:H564)+1,""))</f>
        <v/>
      </c>
    </row>
    <row r="566" customFormat="false" ht="15" hidden="false" customHeight="false" outlineLevel="0" collapsed="false">
      <c r="G566" s="0" t="str">
        <f aca="false">TRIM(Szeptember!A75)</f>
        <v>Játékok, szórakozás</v>
      </c>
      <c r="H566" s="0" t="str">
        <f aca="false">IF(G566="","",IF(COUNTIF(G$2:G566,G566)=1,MAX(H$1:H565)+1,""))</f>
        <v/>
      </c>
    </row>
    <row r="567" customFormat="false" ht="15" hidden="false" customHeight="false" outlineLevel="0" collapsed="false">
      <c r="G567" s="0" t="str">
        <f aca="false">TRIM(Szeptember!A76)</f>
        <v/>
      </c>
      <c r="H567" s="0" t="str">
        <f aca="false">IF(G567="","",IF(COUNTIF(G$2:G567,G567)=1,MAX(H$1:H566)+1,""))</f>
        <v/>
      </c>
    </row>
    <row r="568" customFormat="false" ht="15" hidden="false" customHeight="false" outlineLevel="0" collapsed="false">
      <c r="G568" s="0" t="str">
        <f aca="false">TRIM(Szeptember!A77)</f>
        <v/>
      </c>
      <c r="H568" s="0" t="str">
        <f aca="false">IF(G568="","",IF(COUNTIF(G$2:G568,G568)=1,MAX(H$1:H567)+1,""))</f>
        <v/>
      </c>
    </row>
    <row r="569" customFormat="false" ht="15" hidden="false" customHeight="false" outlineLevel="0" collapsed="false">
      <c r="G569" s="0" t="str">
        <f aca="false">TRIM(Szeptember!A78)</f>
        <v/>
      </c>
      <c r="H569" s="0" t="str">
        <f aca="false">IF(G569="","",IF(COUNTIF(G$2:G569,G569)=1,MAX(H$1:H568)+1,""))</f>
        <v/>
      </c>
    </row>
    <row r="570" customFormat="false" ht="15" hidden="false" customHeight="false" outlineLevel="0" collapsed="false">
      <c r="G570" s="0" t="str">
        <f aca="false">TRIM(Szeptember!A81)</f>
        <v>Ruha</v>
      </c>
      <c r="H570" s="0" t="str">
        <f aca="false">IF(G570="","",IF(COUNTIF(G$2:G570,G570)=1,MAX(H$1:H569)+1,""))</f>
        <v/>
      </c>
    </row>
    <row r="571" customFormat="false" ht="15" hidden="false" customHeight="false" outlineLevel="0" collapsed="false">
      <c r="G571" s="0" t="str">
        <f aca="false">TRIM(Szeptember!A82)</f>
        <v>Cipő</v>
      </c>
      <c r="H571" s="0" t="str">
        <f aca="false">IF(G571="","",IF(COUNTIF(G$2:G571,G571)=1,MAX(H$1:H570)+1,""))</f>
        <v/>
      </c>
    </row>
    <row r="572" customFormat="false" ht="15" hidden="false" customHeight="false" outlineLevel="0" collapsed="false">
      <c r="G572" s="0" t="str">
        <f aca="false">TRIM(Szeptember!A83)</f>
        <v>Kiegészítők (táska, ékszer, óra)</v>
      </c>
      <c r="H572" s="0" t="str">
        <f aca="false">IF(G572="","",IF(COUNTIF(G$2:G572,G572)=1,MAX(H$1:H571)+1,""))</f>
        <v/>
      </c>
    </row>
    <row r="573" customFormat="false" ht="15" hidden="false" customHeight="false" outlineLevel="0" collapsed="false">
      <c r="G573" s="0" t="str">
        <f aca="false">TRIM(Szeptember!A84)</f>
        <v/>
      </c>
      <c r="H573" s="0" t="str">
        <f aca="false">IF(G573="","",IF(COUNTIF(G$2:G573,G573)=1,MAX(H$1:H572)+1,""))</f>
        <v/>
      </c>
    </row>
    <row r="574" customFormat="false" ht="15" hidden="false" customHeight="false" outlineLevel="0" collapsed="false">
      <c r="G574" s="0" t="str">
        <f aca="false">TRIM(Szeptember!A87)</f>
        <v>Fodrász, borbély</v>
      </c>
      <c r="H574" s="0" t="str">
        <f aca="false">IF(G574="","",IF(COUNTIF(G$2:G574,G574)=1,MAX(H$1:H573)+1,""))</f>
        <v/>
      </c>
    </row>
    <row r="575" customFormat="false" ht="15" hidden="false" customHeight="false" outlineLevel="0" collapsed="false">
      <c r="G575" s="0" t="str">
        <f aca="false">TRIM(Szeptember!A88)</f>
        <v>Kozmetikus, manikűr, pedikűr</v>
      </c>
      <c r="H575" s="0" t="str">
        <f aca="false">IF(G575="","",IF(COUNTIF(G$2:G575,G575)=1,MAX(H$1:H574)+1,""))</f>
        <v/>
      </c>
    </row>
    <row r="576" customFormat="false" ht="15" hidden="false" customHeight="false" outlineLevel="0" collapsed="false">
      <c r="G576" s="0" t="str">
        <f aca="false">TRIM(Szeptember!A89)</f>
        <v>Kozmetikumok, parfüm</v>
      </c>
      <c r="H576" s="0" t="str">
        <f aca="false">IF(G576="","",IF(COUNTIF(G$2:G576,G576)=1,MAX(H$1:H575)+1,""))</f>
        <v/>
      </c>
    </row>
    <row r="577" customFormat="false" ht="15" hidden="false" customHeight="false" outlineLevel="0" collapsed="false">
      <c r="G577" s="0" t="str">
        <f aca="false">TRIM(Szeptember!A90)</f>
        <v>Edzés, sport, bérlet</v>
      </c>
      <c r="H577" s="0" t="str">
        <f aca="false">IF(G577="","",IF(COUNTIF(G$2:G577,G577)=1,MAX(H$1:H576)+1,""))</f>
        <v/>
      </c>
    </row>
    <row r="578" customFormat="false" ht="15" hidden="false" customHeight="false" outlineLevel="0" collapsed="false">
      <c r="G578" s="0" t="str">
        <f aca="false">TRIM(Szeptember!A91)</f>
        <v>Gyógyszer, vitamin</v>
      </c>
      <c r="H578" s="0" t="str">
        <f aca="false">IF(G578="","",IF(COUNTIF(G$2:G578,G578)=1,MAX(H$1:H577)+1,""))</f>
        <v/>
      </c>
    </row>
    <row r="579" customFormat="false" ht="15" hidden="false" customHeight="false" outlineLevel="0" collapsed="false">
      <c r="G579" s="0" t="str">
        <f aca="false">TRIM(Szeptember!A92)</f>
        <v>Orvos, fogorvos, magánrendelés</v>
      </c>
      <c r="H579" s="0" t="str">
        <f aca="false">IF(G579="","",IF(COUNTIF(G$2:G579,G579)=1,MAX(H$1:H578)+1,""))</f>
        <v/>
      </c>
    </row>
    <row r="580" customFormat="false" ht="15" hidden="false" customHeight="false" outlineLevel="0" collapsed="false">
      <c r="G580" s="0" t="str">
        <f aca="false">TRIM(Szeptember!A93)</f>
        <v/>
      </c>
      <c r="H580" s="0" t="str">
        <f aca="false">IF(G580="","",IF(COUNTIF(G$2:G580,G580)=1,MAX(H$1:H579)+1,""))</f>
        <v/>
      </c>
    </row>
    <row r="581" customFormat="false" ht="15" hidden="false" customHeight="false" outlineLevel="0" collapsed="false">
      <c r="G581" s="0" t="str">
        <f aca="false">TRIM(Szeptember!A96)</f>
        <v>Cigaretta, dohány</v>
      </c>
      <c r="H581" s="0" t="str">
        <f aca="false">IF(G581="","",IF(COUNTIF(G$2:G581,G581)=1,MAX(H$1:H580)+1,""))</f>
        <v/>
      </c>
    </row>
    <row r="582" customFormat="false" ht="15" hidden="false" customHeight="false" outlineLevel="0" collapsed="false">
      <c r="G582" s="0" t="str">
        <f aca="false">TRIM(Szeptember!A97)</f>
        <v>E-cigaretta, hevített dohánytermék</v>
      </c>
      <c r="H582" s="0" t="str">
        <f aca="false">IF(G582="","",IF(COUNTIF(G$2:G582,G582)=1,MAX(H$1:H581)+1,""))</f>
        <v/>
      </c>
    </row>
    <row r="583" customFormat="false" ht="15" hidden="false" customHeight="false" outlineLevel="0" collapsed="false">
      <c r="G583" s="0" t="str">
        <f aca="false">TRIM(Szeptember!A98)</f>
        <v/>
      </c>
      <c r="H583" s="0" t="str">
        <f aca="false">IF(G583="","",IF(COUNTIF(G$2:G583,G583)=1,MAX(H$1:H582)+1,""))</f>
        <v/>
      </c>
    </row>
    <row r="584" customFormat="false" ht="15" hidden="false" customHeight="false" outlineLevel="0" collapsed="false">
      <c r="G584" s="0" t="str">
        <f aca="false">TRIM(Szeptember!A101)</f>
        <v>Állateledel, jutalomfalat</v>
      </c>
      <c r="H584" s="0" t="str">
        <f aca="false">IF(G584="","",IF(COUNTIF(G$2:G584,G584)=1,MAX(H$1:H583)+1,""))</f>
        <v/>
      </c>
    </row>
    <row r="585" customFormat="false" ht="15" hidden="false" customHeight="false" outlineLevel="0" collapsed="false">
      <c r="G585" s="0" t="str">
        <f aca="false">TRIM(Szeptember!A102)</f>
        <v>Állatorvos, oltások, gyógyszer</v>
      </c>
      <c r="H585" s="0" t="str">
        <f aca="false">IF(G585="","",IF(COUNTIF(G$2:G585,G585)=1,MAX(H$1:H584)+1,""))</f>
        <v/>
      </c>
    </row>
    <row r="586" customFormat="false" ht="15" hidden="false" customHeight="false" outlineLevel="0" collapsed="false">
      <c r="G586" s="0" t="str">
        <f aca="false">TRIM(Szeptember!A103)</f>
        <v>Felszerelés, alom, játékok</v>
      </c>
      <c r="H586" s="0" t="str">
        <f aca="false">IF(G586="","",IF(COUNTIF(G$2:G586,G586)=1,MAX(H$1:H585)+1,""))</f>
        <v/>
      </c>
    </row>
    <row r="587" customFormat="false" ht="15" hidden="false" customHeight="false" outlineLevel="0" collapsed="false">
      <c r="G587" s="0" t="str">
        <f aca="false">TRIM(Szeptember!A104)</f>
        <v>Kisállat-kozmetika, panzió, kutyaiskola</v>
      </c>
      <c r="H587" s="0" t="str">
        <f aca="false">IF(G587="","",IF(COUNTIF(G$2:G587,G587)=1,MAX(H$1:H586)+1,""))</f>
        <v/>
      </c>
    </row>
    <row r="588" customFormat="false" ht="15" hidden="false" customHeight="false" outlineLevel="0" collapsed="false">
      <c r="G588" s="0" t="str">
        <f aca="false">TRIM(Szeptember!A105)</f>
        <v/>
      </c>
      <c r="H588" s="0" t="str">
        <f aca="false">IF(G588="","",IF(COUNTIF(G$2:G588,G588)=1,MAX(H$1:H587)+1,""))</f>
        <v/>
      </c>
    </row>
    <row r="589" customFormat="false" ht="15" hidden="false" customHeight="false" outlineLevel="0" collapsed="false">
      <c r="G589" s="0" t="str">
        <f aca="false">TRIM(Szeptember!A108)</f>
        <v>Hobbi</v>
      </c>
      <c r="H589" s="0" t="str">
        <f aca="false">IF(G589="","",IF(COUNTIF(G$2:G589,G589)=1,MAX(H$1:H588)+1,""))</f>
        <v/>
      </c>
    </row>
    <row r="590" customFormat="false" ht="15" hidden="false" customHeight="false" outlineLevel="0" collapsed="false">
      <c r="G590" s="0" t="str">
        <f aca="false">TRIM(Szeptember!A109)</f>
        <v>Szórakozás (mozi, színház, koncert, étterem)</v>
      </c>
      <c r="H590" s="0" t="str">
        <f aca="false">IF(G590="","",IF(COUNTIF(G$2:G590,G590)=1,MAX(H$1:H589)+1,""))</f>
        <v/>
      </c>
    </row>
    <row r="591" customFormat="false" ht="15" hidden="false" customHeight="false" outlineLevel="0" collapsed="false">
      <c r="G591" s="0" t="str">
        <f aca="false">TRIM(Szeptember!A110)</f>
        <v>Nyaralás, utazás</v>
      </c>
      <c r="H591" s="0" t="str">
        <f aca="false">IF(G591="","",IF(COUNTIF(G$2:G591,G591)=1,MAX(H$1:H590)+1,""))</f>
        <v/>
      </c>
    </row>
    <row r="592" customFormat="false" ht="15" hidden="false" customHeight="false" outlineLevel="0" collapsed="false">
      <c r="G592" s="0" t="str">
        <f aca="false">TRIM(Szeptember!A111)</f>
        <v/>
      </c>
      <c r="H592" s="0" t="str">
        <f aca="false">IF(G592="","",IF(COUNTIF(G$2:G592,G592)=1,MAX(H$1:H591)+1,""))</f>
        <v/>
      </c>
    </row>
    <row r="593" customFormat="false" ht="15" hidden="false" customHeight="false" outlineLevel="0" collapsed="false">
      <c r="G593" s="0" t="str">
        <f aca="false">TRIM(Szeptember!A114)</f>
        <v>Ünnepek, ajándékok</v>
      </c>
      <c r="H593" s="0" t="str">
        <f aca="false">IF(G593="","",IF(COUNTIF(G$2:G593,G593)=1,MAX(H$1:H592)+1,""))</f>
        <v/>
      </c>
    </row>
    <row r="594" customFormat="false" ht="15" hidden="false" customHeight="false" outlineLevel="0" collapsed="false">
      <c r="G594" s="0" t="str">
        <f aca="false">TRIM(Szeptember!A115)</f>
        <v>Egyéb kiadás</v>
      </c>
      <c r="H594" s="0" t="str">
        <f aca="false">IF(G594="","",IF(COUNTIF(G$2:G594,G594)=1,MAX(H$1:H593)+1,""))</f>
        <v/>
      </c>
    </row>
    <row r="595" customFormat="false" ht="15" hidden="false" customHeight="false" outlineLevel="0" collapsed="false">
      <c r="G595" s="0" t="str">
        <f aca="false">TRIM(Szeptember!A116)</f>
        <v/>
      </c>
      <c r="H595" s="0" t="str">
        <f aca="false">IF(G595="","",IF(COUNTIF(G$2:G595,G595)=1,MAX(H$1:H594)+1,""))</f>
        <v/>
      </c>
    </row>
    <row r="596" customFormat="false" ht="15" hidden="false" customHeight="false" outlineLevel="0" collapsed="false">
      <c r="G596" s="0" t="str">
        <f aca="false">TRIM(Október!A31)</f>
        <v>Albérleti díj / lakáshitel</v>
      </c>
      <c r="H596" s="0" t="str">
        <f aca="false">IF(G596="","",IF(COUNTIF(G$2:G596,G596)=1,MAX(H$1:H595)+1,""))</f>
        <v/>
      </c>
    </row>
    <row r="597" customFormat="false" ht="15" hidden="false" customHeight="false" outlineLevel="0" collapsed="false">
      <c r="G597" s="0" t="str">
        <f aca="false">TRIM(Október!A32)</f>
        <v>Rezsi (közművek, közös költség)</v>
      </c>
      <c r="H597" s="0" t="str">
        <f aca="false">IF(G597="","",IF(COUNTIF(G$2:G597,G597)=1,MAX(H$1:H596)+1,""))</f>
        <v/>
      </c>
    </row>
    <row r="598" customFormat="false" ht="15" hidden="false" customHeight="false" outlineLevel="0" collapsed="false">
      <c r="G598" s="0" t="str">
        <f aca="false">TRIM(Október!A33)</f>
        <v>Telefon, internet, digitális előfizetések</v>
      </c>
      <c r="H598" s="0" t="str">
        <f aca="false">IF(G598="","",IF(COUNTIF(G$2:G598,G598)=1,MAX(H$1:H597)+1,""))</f>
        <v/>
      </c>
    </row>
    <row r="599" customFormat="false" ht="15" hidden="false" customHeight="false" outlineLevel="0" collapsed="false">
      <c r="G599" s="0" t="str">
        <f aca="false">TRIM(Október!A34)</f>
        <v/>
      </c>
      <c r="H599" s="0" t="str">
        <f aca="false">IF(G599="","",IF(COUNTIF(G$2:G599,G599)=1,MAX(H$1:H598)+1,""))</f>
        <v/>
      </c>
    </row>
    <row r="600" customFormat="false" ht="15" hidden="false" customHeight="false" outlineLevel="0" collapsed="false">
      <c r="G600" s="0" t="str">
        <f aca="false">TRIM(Október!A37)</f>
        <v>Nagybevásárlások</v>
      </c>
      <c r="H600" s="0" t="str">
        <f aca="false">IF(G600="","",IF(COUNTIF(G$2:G600,G600)=1,MAX(H$1:H599)+1,""))</f>
        <v/>
      </c>
    </row>
    <row r="601" customFormat="false" ht="15" hidden="false" customHeight="false" outlineLevel="0" collapsed="false">
      <c r="G601" s="0" t="str">
        <f aca="false">TRIM(Október!A38)</f>
        <v>Drogéria</v>
      </c>
      <c r="H601" s="0" t="str">
        <f aca="false">IF(G601="","",IF(COUNTIF(G$2:G601,G601)=1,MAX(H$1:H600)+1,""))</f>
        <v/>
      </c>
    </row>
    <row r="602" customFormat="false" ht="15" hidden="false" customHeight="false" outlineLevel="0" collapsed="false">
      <c r="G602" s="0" t="str">
        <f aca="false">TRIM(Október!A39)</f>
        <v>Ételrendelés</v>
      </c>
      <c r="H602" s="0" t="str">
        <f aca="false">IF(G602="","",IF(COUNTIF(G$2:G602,G602)=1,MAX(H$1:H601)+1,""))</f>
        <v/>
      </c>
    </row>
    <row r="603" customFormat="false" ht="15" hidden="false" customHeight="false" outlineLevel="0" collapsed="false">
      <c r="G603" s="0" t="str">
        <f aca="false">TRIM(Október!A40)</f>
        <v>Egyéb élelmiszer, bevásárlás</v>
      </c>
      <c r="H603" s="0" t="str">
        <f aca="false">IF(G603="","",IF(COUNTIF(G$2:G603,G603)=1,MAX(H$1:H602)+1,""))</f>
        <v/>
      </c>
    </row>
    <row r="604" customFormat="false" ht="15" hidden="false" customHeight="false" outlineLevel="0" collapsed="false">
      <c r="G604" s="0" t="str">
        <f aca="false">TRIM(Október!A41)</f>
        <v/>
      </c>
      <c r="H604" s="0" t="str">
        <f aca="false">IF(G604="","",IF(COUNTIF(G$2:G604,G604)=1,MAX(H$1:H603)+1,""))</f>
        <v/>
      </c>
    </row>
    <row r="605" customFormat="false" ht="15" hidden="false" customHeight="false" outlineLevel="0" collapsed="false">
      <c r="G605" s="0" t="str">
        <f aca="false">TRIM(Október!A44)</f>
        <v>Lakásbiztosítás</v>
      </c>
      <c r="H605" s="0" t="str">
        <f aca="false">IF(G605="","",IF(COUNTIF(G$2:G605,G605)=1,MAX(H$1:H604)+1,""))</f>
        <v/>
      </c>
    </row>
    <row r="606" customFormat="false" ht="15" hidden="false" customHeight="false" outlineLevel="0" collapsed="false">
      <c r="G606" s="0" t="str">
        <f aca="false">TRIM(Október!A45)</f>
        <v>Életbiztosítás</v>
      </c>
      <c r="H606" s="0" t="str">
        <f aca="false">IF(G606="","",IF(COUNTIF(G$2:G606,G606)=1,MAX(H$1:H605)+1,""))</f>
        <v/>
      </c>
    </row>
    <row r="607" customFormat="false" ht="15" hidden="false" customHeight="false" outlineLevel="0" collapsed="false">
      <c r="G607" s="0" t="str">
        <f aca="false">TRIM(Október!A46)</f>
        <v>Baleset- és betegségbiztosítás</v>
      </c>
      <c r="H607" s="0" t="str">
        <f aca="false">IF(G607="","",IF(COUNTIF(G$2:G607,G607)=1,MAX(H$1:H606)+1,""))</f>
        <v/>
      </c>
    </row>
    <row r="608" customFormat="false" ht="15" hidden="false" customHeight="false" outlineLevel="0" collapsed="false">
      <c r="G608" s="0" t="str">
        <f aca="false">TRIM(Október!A47)</f>
        <v>Egészségbiztosítás</v>
      </c>
      <c r="H608" s="0" t="str">
        <f aca="false">IF(G608="","",IF(COUNTIF(G$2:G608,G608)=1,MAX(H$1:H607)+1,""))</f>
        <v/>
      </c>
    </row>
    <row r="609" customFormat="false" ht="15" hidden="false" customHeight="false" outlineLevel="0" collapsed="false">
      <c r="G609" s="0" t="str">
        <f aca="false">TRIM(Október!A48)</f>
        <v>Hiteltörlesztés</v>
      </c>
      <c r="H609" s="0" t="str">
        <f aca="false">IF(G609="","",IF(COUNTIF(G$2:G609,G609)=1,MAX(H$1:H608)+1,""))</f>
        <v/>
      </c>
    </row>
    <row r="610" customFormat="false" ht="15" hidden="false" customHeight="false" outlineLevel="0" collapsed="false">
      <c r="G610" s="0" t="str">
        <f aca="false">TRIM(Október!A49)</f>
        <v>Egyéb szerződés</v>
      </c>
      <c r="H610" s="0" t="str">
        <f aca="false">IF(G610="","",IF(COUNTIF(G$2:G610,G610)=1,MAX(H$1:H609)+1,""))</f>
        <v/>
      </c>
    </row>
    <row r="611" customFormat="false" ht="15" hidden="false" customHeight="false" outlineLevel="0" collapsed="false">
      <c r="G611" s="0" t="str">
        <f aca="false">TRIM(Október!A50)</f>
        <v/>
      </c>
      <c r="H611" s="0" t="str">
        <f aca="false">IF(G611="","",IF(COUNTIF(G$2:G611,G611)=1,MAX(H$1:H610)+1,""))</f>
        <v/>
      </c>
    </row>
    <row r="612" customFormat="false" ht="15" hidden="false" customHeight="false" outlineLevel="0" collapsed="false">
      <c r="G612" s="0" t="str">
        <f aca="false">TRIM(Október!A51)</f>
        <v/>
      </c>
      <c r="H612" s="0" t="str">
        <f aca="false">IF(G612="","",IF(COUNTIF(G$2:G612,G612)=1,MAX(H$1:H611)+1,""))</f>
        <v/>
      </c>
    </row>
    <row r="613" customFormat="false" ht="15" hidden="false" customHeight="false" outlineLevel="0" collapsed="false">
      <c r="G613" s="0" t="str">
        <f aca="false">TRIM(Október!A54)</f>
        <v>Üzemanyag, elektromos töltés</v>
      </c>
      <c r="H613" s="0" t="str">
        <f aca="false">IF(G613="","",IF(COUNTIF(G$2:G613,G613)=1,MAX(H$1:H612)+1,""))</f>
        <v/>
      </c>
    </row>
    <row r="614" customFormat="false" ht="15" hidden="false" customHeight="false" outlineLevel="0" collapsed="false">
      <c r="G614" s="0" t="str">
        <f aca="false">TRIM(Október!A55)</f>
        <v>Parkolás, útdíj, autópálya-matrica</v>
      </c>
      <c r="H614" s="0" t="str">
        <f aca="false">IF(G614="","",IF(COUNTIF(G$2:G614,G614)=1,MAX(H$1:H613)+1,""))</f>
        <v/>
      </c>
    </row>
    <row r="615" customFormat="false" ht="15" hidden="false" customHeight="false" outlineLevel="0" collapsed="false">
      <c r="G615" s="0" t="str">
        <f aca="false">TRIM(Október!A56)</f>
        <v>Szerviz, karbantartás, gumicsere</v>
      </c>
      <c r="H615" s="0" t="str">
        <f aca="false">IF(G615="","",IF(COUNTIF(G$2:G615,G615)=1,MAX(H$1:H614)+1,""))</f>
        <v/>
      </c>
    </row>
    <row r="616" customFormat="false" ht="15" hidden="false" customHeight="false" outlineLevel="0" collapsed="false">
      <c r="G616" s="0" t="str">
        <f aca="false">TRIM(Október!A57)</f>
        <v>KGFB (kötelező biztosítás)</v>
      </c>
      <c r="H616" s="0" t="str">
        <f aca="false">IF(G616="","",IF(COUNTIF(G$2:G616,G616)=1,MAX(H$1:H615)+1,""))</f>
        <v/>
      </c>
    </row>
    <row r="617" customFormat="false" ht="15" hidden="false" customHeight="false" outlineLevel="0" collapsed="false">
      <c r="G617" s="0" t="str">
        <f aca="false">TRIM(Október!A58)</f>
        <v>CASCO</v>
      </c>
      <c r="H617" s="0" t="str">
        <f aca="false">IF(G617="","",IF(COUNTIF(G$2:G617,G617)=1,MAX(H$1:H616)+1,""))</f>
        <v/>
      </c>
    </row>
    <row r="618" customFormat="false" ht="15" hidden="false" customHeight="false" outlineLevel="0" collapsed="false">
      <c r="G618" s="0" t="str">
        <f aca="false">TRIM(Október!A59)</f>
        <v>Gépjárműadó</v>
      </c>
      <c r="H618" s="0" t="str">
        <f aca="false">IF(G618="","",IF(COUNTIF(G$2:G618,G618)=1,MAX(H$1:H617)+1,""))</f>
        <v/>
      </c>
    </row>
    <row r="619" customFormat="false" ht="15" hidden="false" customHeight="false" outlineLevel="0" collapsed="false">
      <c r="G619" s="0" t="str">
        <f aca="false">TRIM(Október!A60)</f>
        <v>Autóhitel, lízing részlet</v>
      </c>
      <c r="H619" s="0" t="str">
        <f aca="false">IF(G619="","",IF(COUNTIF(G$2:G619,G619)=1,MAX(H$1:H618)+1,""))</f>
        <v/>
      </c>
    </row>
    <row r="620" customFormat="false" ht="15" hidden="false" customHeight="false" outlineLevel="0" collapsed="false">
      <c r="G620" s="0" t="str">
        <f aca="false">TRIM(Október!A61)</f>
        <v>Autómosás, egyéb autós költség</v>
      </c>
      <c r="H620" s="0" t="str">
        <f aca="false">IF(G620="","",IF(COUNTIF(G$2:G620,G620)=1,MAX(H$1:H619)+1,""))</f>
        <v/>
      </c>
    </row>
    <row r="621" customFormat="false" ht="15" hidden="false" customHeight="false" outlineLevel="0" collapsed="false">
      <c r="G621" s="0" t="str">
        <f aca="false">TRIM(Október!A62)</f>
        <v>Tömegközlekedés, bérlet</v>
      </c>
      <c r="H621" s="0" t="str">
        <f aca="false">IF(G621="","",IF(COUNTIF(G$2:G621,G621)=1,MAX(H$1:H620)+1,""))</f>
        <v/>
      </c>
    </row>
    <row r="622" customFormat="false" ht="15" hidden="false" customHeight="false" outlineLevel="0" collapsed="false">
      <c r="G622" s="0" t="str">
        <f aca="false">TRIM(Október!A63)</f>
        <v>Taxi, roller, bicikli, közösségi közlekedés</v>
      </c>
      <c r="H622" s="0" t="str">
        <f aca="false">IF(G622="","",IF(COUNTIF(G$2:G622,G622)=1,MAX(H$1:H621)+1,""))</f>
        <v/>
      </c>
    </row>
    <row r="623" customFormat="false" ht="15" hidden="false" customHeight="false" outlineLevel="0" collapsed="false">
      <c r="G623" s="0" t="str">
        <f aca="false">TRIM(Október!A64)</f>
        <v/>
      </c>
      <c r="H623" s="0" t="str">
        <f aca="false">IF(G623="","",IF(COUNTIF(G$2:G623,G623)=1,MAX(H$1:H622)+1,""))</f>
        <v/>
      </c>
    </row>
    <row r="624" customFormat="false" ht="15" hidden="false" customHeight="false" outlineLevel="0" collapsed="false">
      <c r="G624" s="0" t="str">
        <f aca="false">TRIM(Október!A65)</f>
        <v/>
      </c>
      <c r="H624" s="0" t="str">
        <f aca="false">IF(G624="","",IF(COUNTIF(G$2:G624,G624)=1,MAX(H$1:H623)+1,""))</f>
        <v/>
      </c>
    </row>
    <row r="625" customFormat="false" ht="15" hidden="false" customHeight="false" outlineLevel="0" collapsed="false">
      <c r="G625" s="0" t="str">
        <f aca="false">TRIM(Október!A68)</f>
        <v>Gyerek ruha, cipő</v>
      </c>
      <c r="H625" s="0" t="str">
        <f aca="false">IF(G625="","",IF(COUNTIF(G$2:G625,G625)=1,MAX(H$1:H624)+1,""))</f>
        <v/>
      </c>
    </row>
    <row r="626" customFormat="false" ht="15" hidden="false" customHeight="false" outlineLevel="0" collapsed="false">
      <c r="G626" s="0" t="str">
        <f aca="false">TRIM(Október!A69)</f>
        <v>Gyerek étkeztetés (menza)</v>
      </c>
      <c r="H626" s="0" t="str">
        <f aca="false">IF(G626="","",IF(COUNTIF(G$2:G626,G626)=1,MAX(H$1:H625)+1,""))</f>
        <v/>
      </c>
    </row>
    <row r="627" customFormat="false" ht="15" hidden="false" customHeight="false" outlineLevel="0" collapsed="false">
      <c r="G627" s="0" t="str">
        <f aca="false">TRIM(Október!A70)</f>
        <v>Bölcsőde, óvoda, iskola díjai</v>
      </c>
      <c r="H627" s="0" t="str">
        <f aca="false">IF(G627="","",IF(COUNTIF(G$2:G627,G627)=1,MAX(H$1:H626)+1,""))</f>
        <v/>
      </c>
    </row>
    <row r="628" customFormat="false" ht="15" hidden="false" customHeight="false" outlineLevel="0" collapsed="false">
      <c r="G628" s="0" t="str">
        <f aca="false">TRIM(Október!A71)</f>
        <v>Tankönyv, tanszer</v>
      </c>
      <c r="H628" s="0" t="str">
        <f aca="false">IF(G628="","",IF(COUNTIF(G$2:G628,G628)=1,MAX(H$1:H627)+1,""))</f>
        <v/>
      </c>
    </row>
    <row r="629" customFormat="false" ht="15" hidden="false" customHeight="false" outlineLevel="0" collapsed="false">
      <c r="G629" s="0" t="str">
        <f aca="false">TRIM(Október!A72)</f>
        <v>Különórák, edzések</v>
      </c>
      <c r="H629" s="0" t="str">
        <f aca="false">IF(G629="","",IF(COUNTIF(G$2:G629,G629)=1,MAX(H$1:H628)+1,""))</f>
        <v/>
      </c>
    </row>
    <row r="630" customFormat="false" ht="15" hidden="false" customHeight="false" outlineLevel="0" collapsed="false">
      <c r="G630" s="0" t="str">
        <f aca="false">TRIM(Október!A73)</f>
        <v>Magánóra, korrepetálás</v>
      </c>
      <c r="H630" s="0" t="str">
        <f aca="false">IF(G630="","",IF(COUNTIF(G$2:G630,G630)=1,MAX(H$1:H629)+1,""))</f>
        <v/>
      </c>
    </row>
    <row r="631" customFormat="false" ht="15" hidden="false" customHeight="false" outlineLevel="0" collapsed="false">
      <c r="G631" s="0" t="str">
        <f aca="false">TRIM(Október!A74)</f>
        <v>Zsebpénz</v>
      </c>
      <c r="H631" s="0" t="str">
        <f aca="false">IF(G631="","",IF(COUNTIF(G$2:G631,G631)=1,MAX(H$1:H630)+1,""))</f>
        <v/>
      </c>
    </row>
    <row r="632" customFormat="false" ht="15" hidden="false" customHeight="false" outlineLevel="0" collapsed="false">
      <c r="G632" s="0" t="str">
        <f aca="false">TRIM(Október!A75)</f>
        <v>Játékok, szórakozás</v>
      </c>
      <c r="H632" s="0" t="str">
        <f aca="false">IF(G632="","",IF(COUNTIF(G$2:G632,G632)=1,MAX(H$1:H631)+1,""))</f>
        <v/>
      </c>
    </row>
    <row r="633" customFormat="false" ht="15" hidden="false" customHeight="false" outlineLevel="0" collapsed="false">
      <c r="G633" s="0" t="str">
        <f aca="false">TRIM(Október!A76)</f>
        <v/>
      </c>
      <c r="H633" s="0" t="str">
        <f aca="false">IF(G633="","",IF(COUNTIF(G$2:G633,G633)=1,MAX(H$1:H632)+1,""))</f>
        <v/>
      </c>
    </row>
    <row r="634" customFormat="false" ht="15" hidden="false" customHeight="false" outlineLevel="0" collapsed="false">
      <c r="G634" s="0" t="str">
        <f aca="false">TRIM(Október!A77)</f>
        <v/>
      </c>
      <c r="H634" s="0" t="str">
        <f aca="false">IF(G634="","",IF(COUNTIF(G$2:G634,G634)=1,MAX(H$1:H633)+1,""))</f>
        <v/>
      </c>
    </row>
    <row r="635" customFormat="false" ht="15" hidden="false" customHeight="false" outlineLevel="0" collapsed="false">
      <c r="G635" s="0" t="str">
        <f aca="false">TRIM(Október!A78)</f>
        <v/>
      </c>
      <c r="H635" s="0" t="str">
        <f aca="false">IF(G635="","",IF(COUNTIF(G$2:G635,G635)=1,MAX(H$1:H634)+1,""))</f>
        <v/>
      </c>
    </row>
    <row r="636" customFormat="false" ht="15" hidden="false" customHeight="false" outlineLevel="0" collapsed="false">
      <c r="G636" s="0" t="str">
        <f aca="false">TRIM(Október!A81)</f>
        <v>Ruha</v>
      </c>
      <c r="H636" s="0" t="str">
        <f aca="false">IF(G636="","",IF(COUNTIF(G$2:G636,G636)=1,MAX(H$1:H635)+1,""))</f>
        <v/>
      </c>
    </row>
    <row r="637" customFormat="false" ht="15" hidden="false" customHeight="false" outlineLevel="0" collapsed="false">
      <c r="G637" s="0" t="str">
        <f aca="false">TRIM(Október!A82)</f>
        <v>Cipő</v>
      </c>
      <c r="H637" s="0" t="str">
        <f aca="false">IF(G637="","",IF(COUNTIF(G$2:G637,G637)=1,MAX(H$1:H636)+1,""))</f>
        <v/>
      </c>
    </row>
    <row r="638" customFormat="false" ht="15" hidden="false" customHeight="false" outlineLevel="0" collapsed="false">
      <c r="G638" s="0" t="str">
        <f aca="false">TRIM(Október!A83)</f>
        <v>Kiegészítők (táska, ékszer, óra)</v>
      </c>
      <c r="H638" s="0" t="str">
        <f aca="false">IF(G638="","",IF(COUNTIF(G$2:G638,G638)=1,MAX(H$1:H637)+1,""))</f>
        <v/>
      </c>
    </row>
    <row r="639" customFormat="false" ht="15" hidden="false" customHeight="false" outlineLevel="0" collapsed="false">
      <c r="G639" s="0" t="str">
        <f aca="false">TRIM(Október!A84)</f>
        <v/>
      </c>
      <c r="H639" s="0" t="str">
        <f aca="false">IF(G639="","",IF(COUNTIF(G$2:G639,G639)=1,MAX(H$1:H638)+1,""))</f>
        <v/>
      </c>
    </row>
    <row r="640" customFormat="false" ht="15" hidden="false" customHeight="false" outlineLevel="0" collapsed="false">
      <c r="G640" s="0" t="str">
        <f aca="false">TRIM(Október!A87)</f>
        <v>Fodrász, borbély</v>
      </c>
      <c r="H640" s="0" t="str">
        <f aca="false">IF(G640="","",IF(COUNTIF(G$2:G640,G640)=1,MAX(H$1:H639)+1,""))</f>
        <v/>
      </c>
    </row>
    <row r="641" customFormat="false" ht="15" hidden="false" customHeight="false" outlineLevel="0" collapsed="false">
      <c r="G641" s="0" t="str">
        <f aca="false">TRIM(Október!A88)</f>
        <v>Kozmetikus, manikűr, pedikűr</v>
      </c>
      <c r="H641" s="0" t="str">
        <f aca="false">IF(G641="","",IF(COUNTIF(G$2:G641,G641)=1,MAX(H$1:H640)+1,""))</f>
        <v/>
      </c>
    </row>
    <row r="642" customFormat="false" ht="15" hidden="false" customHeight="false" outlineLevel="0" collapsed="false">
      <c r="G642" s="0" t="str">
        <f aca="false">TRIM(Október!A89)</f>
        <v>Kozmetikumok, parfüm</v>
      </c>
      <c r="H642" s="0" t="str">
        <f aca="false">IF(G642="","",IF(COUNTIF(G$2:G642,G642)=1,MAX(H$1:H641)+1,""))</f>
        <v/>
      </c>
    </row>
    <row r="643" customFormat="false" ht="15" hidden="false" customHeight="false" outlineLevel="0" collapsed="false">
      <c r="G643" s="0" t="str">
        <f aca="false">TRIM(Október!A90)</f>
        <v>Edzés, sport, bérlet</v>
      </c>
      <c r="H643" s="0" t="str">
        <f aca="false">IF(G643="","",IF(COUNTIF(G$2:G643,G643)=1,MAX(H$1:H642)+1,""))</f>
        <v/>
      </c>
    </row>
    <row r="644" customFormat="false" ht="15" hidden="false" customHeight="false" outlineLevel="0" collapsed="false">
      <c r="G644" s="0" t="str">
        <f aca="false">TRIM(Október!A91)</f>
        <v>Gyógyszer, vitamin</v>
      </c>
      <c r="H644" s="0" t="str">
        <f aca="false">IF(G644="","",IF(COUNTIF(G$2:G644,G644)=1,MAX(H$1:H643)+1,""))</f>
        <v/>
      </c>
    </row>
    <row r="645" customFormat="false" ht="15" hidden="false" customHeight="false" outlineLevel="0" collapsed="false">
      <c r="G645" s="0" t="str">
        <f aca="false">TRIM(Október!A92)</f>
        <v>Orvos, fogorvos, magánrendelés</v>
      </c>
      <c r="H645" s="0" t="str">
        <f aca="false">IF(G645="","",IF(COUNTIF(G$2:G645,G645)=1,MAX(H$1:H644)+1,""))</f>
        <v/>
      </c>
    </row>
    <row r="646" customFormat="false" ht="15" hidden="false" customHeight="false" outlineLevel="0" collapsed="false">
      <c r="G646" s="0" t="str">
        <f aca="false">TRIM(Október!A93)</f>
        <v/>
      </c>
      <c r="H646" s="0" t="str">
        <f aca="false">IF(G646="","",IF(COUNTIF(G$2:G646,G646)=1,MAX(H$1:H645)+1,""))</f>
        <v/>
      </c>
    </row>
    <row r="647" customFormat="false" ht="15" hidden="false" customHeight="false" outlineLevel="0" collapsed="false">
      <c r="G647" s="0" t="str">
        <f aca="false">TRIM(Október!A96)</f>
        <v>Cigaretta, dohány</v>
      </c>
      <c r="H647" s="0" t="str">
        <f aca="false">IF(G647="","",IF(COUNTIF(G$2:G647,G647)=1,MAX(H$1:H646)+1,""))</f>
        <v/>
      </c>
    </row>
    <row r="648" customFormat="false" ht="15" hidden="false" customHeight="false" outlineLevel="0" collapsed="false">
      <c r="G648" s="0" t="str">
        <f aca="false">TRIM(Október!A97)</f>
        <v>E-cigaretta, hevített dohánytermék</v>
      </c>
      <c r="H648" s="0" t="str">
        <f aca="false">IF(G648="","",IF(COUNTIF(G$2:G648,G648)=1,MAX(H$1:H647)+1,""))</f>
        <v/>
      </c>
    </row>
    <row r="649" customFormat="false" ht="15" hidden="false" customHeight="false" outlineLevel="0" collapsed="false">
      <c r="G649" s="0" t="str">
        <f aca="false">TRIM(Október!A98)</f>
        <v/>
      </c>
      <c r="H649" s="0" t="str">
        <f aca="false">IF(G649="","",IF(COUNTIF(G$2:G649,G649)=1,MAX(H$1:H648)+1,""))</f>
        <v/>
      </c>
    </row>
    <row r="650" customFormat="false" ht="15" hidden="false" customHeight="false" outlineLevel="0" collapsed="false">
      <c r="G650" s="0" t="str">
        <f aca="false">TRIM(Október!A101)</f>
        <v>Állateledel, jutalomfalat</v>
      </c>
      <c r="H650" s="0" t="str">
        <f aca="false">IF(G650="","",IF(COUNTIF(G$2:G650,G650)=1,MAX(H$1:H649)+1,""))</f>
        <v/>
      </c>
    </row>
    <row r="651" customFormat="false" ht="15" hidden="false" customHeight="false" outlineLevel="0" collapsed="false">
      <c r="G651" s="0" t="str">
        <f aca="false">TRIM(Október!A102)</f>
        <v>Állatorvos, oltások, gyógyszer</v>
      </c>
      <c r="H651" s="0" t="str">
        <f aca="false">IF(G651="","",IF(COUNTIF(G$2:G651,G651)=1,MAX(H$1:H650)+1,""))</f>
        <v/>
      </c>
    </row>
    <row r="652" customFormat="false" ht="15" hidden="false" customHeight="false" outlineLevel="0" collapsed="false">
      <c r="G652" s="0" t="str">
        <f aca="false">TRIM(Október!A103)</f>
        <v>Felszerelés, alom, játékok</v>
      </c>
      <c r="H652" s="0" t="str">
        <f aca="false">IF(G652="","",IF(COUNTIF(G$2:G652,G652)=1,MAX(H$1:H651)+1,""))</f>
        <v/>
      </c>
    </row>
    <row r="653" customFormat="false" ht="15" hidden="false" customHeight="false" outlineLevel="0" collapsed="false">
      <c r="G653" s="0" t="str">
        <f aca="false">TRIM(Október!A104)</f>
        <v>Kisállat-kozmetika, panzió, kutyaiskola</v>
      </c>
      <c r="H653" s="0" t="str">
        <f aca="false">IF(G653="","",IF(COUNTIF(G$2:G653,G653)=1,MAX(H$1:H652)+1,""))</f>
        <v/>
      </c>
    </row>
    <row r="654" customFormat="false" ht="15" hidden="false" customHeight="false" outlineLevel="0" collapsed="false">
      <c r="G654" s="0" t="str">
        <f aca="false">TRIM(Október!A105)</f>
        <v/>
      </c>
      <c r="H654" s="0" t="str">
        <f aca="false">IF(G654="","",IF(COUNTIF(G$2:G654,G654)=1,MAX(H$1:H653)+1,""))</f>
        <v/>
      </c>
    </row>
    <row r="655" customFormat="false" ht="15" hidden="false" customHeight="false" outlineLevel="0" collapsed="false">
      <c r="G655" s="0" t="str">
        <f aca="false">TRIM(Október!A108)</f>
        <v>Hobbi</v>
      </c>
      <c r="H655" s="0" t="str">
        <f aca="false">IF(G655="","",IF(COUNTIF(G$2:G655,G655)=1,MAX(H$1:H654)+1,""))</f>
        <v/>
      </c>
    </row>
    <row r="656" customFormat="false" ht="15" hidden="false" customHeight="false" outlineLevel="0" collapsed="false">
      <c r="G656" s="0" t="str">
        <f aca="false">TRIM(Október!A109)</f>
        <v>Szórakozás (mozi, színház, koncert, étterem)</v>
      </c>
      <c r="H656" s="0" t="str">
        <f aca="false">IF(G656="","",IF(COUNTIF(G$2:G656,G656)=1,MAX(H$1:H655)+1,""))</f>
        <v/>
      </c>
    </row>
    <row r="657" customFormat="false" ht="15" hidden="false" customHeight="false" outlineLevel="0" collapsed="false">
      <c r="G657" s="0" t="str">
        <f aca="false">TRIM(Október!A110)</f>
        <v>Nyaralás, utazás</v>
      </c>
      <c r="H657" s="0" t="str">
        <f aca="false">IF(G657="","",IF(COUNTIF(G$2:G657,G657)=1,MAX(H$1:H656)+1,""))</f>
        <v/>
      </c>
    </row>
    <row r="658" customFormat="false" ht="15" hidden="false" customHeight="false" outlineLevel="0" collapsed="false">
      <c r="G658" s="0" t="str">
        <f aca="false">TRIM(Október!A111)</f>
        <v/>
      </c>
      <c r="H658" s="0" t="str">
        <f aca="false">IF(G658="","",IF(COUNTIF(G$2:G658,G658)=1,MAX(H$1:H657)+1,""))</f>
        <v/>
      </c>
    </row>
    <row r="659" customFormat="false" ht="15" hidden="false" customHeight="false" outlineLevel="0" collapsed="false">
      <c r="G659" s="0" t="str">
        <f aca="false">TRIM(Október!A114)</f>
        <v>Ünnepek, ajándékok</v>
      </c>
      <c r="H659" s="0" t="str">
        <f aca="false">IF(G659="","",IF(COUNTIF(G$2:G659,G659)=1,MAX(H$1:H658)+1,""))</f>
        <v/>
      </c>
    </row>
    <row r="660" customFormat="false" ht="15" hidden="false" customHeight="false" outlineLevel="0" collapsed="false">
      <c r="G660" s="0" t="str">
        <f aca="false">TRIM(Október!A115)</f>
        <v>Egyéb kiadás</v>
      </c>
      <c r="H660" s="0" t="str">
        <f aca="false">IF(G660="","",IF(COUNTIF(G$2:G660,G660)=1,MAX(H$1:H659)+1,""))</f>
        <v/>
      </c>
    </row>
    <row r="661" customFormat="false" ht="15" hidden="false" customHeight="false" outlineLevel="0" collapsed="false">
      <c r="G661" s="0" t="str">
        <f aca="false">TRIM(Október!A116)</f>
        <v/>
      </c>
      <c r="H661" s="0" t="str">
        <f aca="false">IF(G661="","",IF(COUNTIF(G$2:G661,G661)=1,MAX(H$1:H660)+1,""))</f>
        <v/>
      </c>
    </row>
    <row r="662" customFormat="false" ht="15" hidden="false" customHeight="false" outlineLevel="0" collapsed="false">
      <c r="G662" s="0" t="str">
        <f aca="false">TRIM(November!A31)</f>
        <v>Albérleti díj / lakáshitel</v>
      </c>
      <c r="H662" s="0" t="str">
        <f aca="false">IF(G662="","",IF(COUNTIF(G$2:G662,G662)=1,MAX(H$1:H661)+1,""))</f>
        <v/>
      </c>
    </row>
    <row r="663" customFormat="false" ht="15" hidden="false" customHeight="false" outlineLevel="0" collapsed="false">
      <c r="G663" s="0" t="str">
        <f aca="false">TRIM(November!A32)</f>
        <v>Rezsi (közművek, közös költség)</v>
      </c>
      <c r="H663" s="0" t="str">
        <f aca="false">IF(G663="","",IF(COUNTIF(G$2:G663,G663)=1,MAX(H$1:H662)+1,""))</f>
        <v/>
      </c>
    </row>
    <row r="664" customFormat="false" ht="15" hidden="false" customHeight="false" outlineLevel="0" collapsed="false">
      <c r="G664" s="0" t="str">
        <f aca="false">TRIM(November!A33)</f>
        <v>Telefon, internet, digitális előfizetések</v>
      </c>
      <c r="H664" s="0" t="str">
        <f aca="false">IF(G664="","",IF(COUNTIF(G$2:G664,G664)=1,MAX(H$1:H663)+1,""))</f>
        <v/>
      </c>
    </row>
    <row r="665" customFormat="false" ht="15" hidden="false" customHeight="false" outlineLevel="0" collapsed="false">
      <c r="G665" s="0" t="str">
        <f aca="false">TRIM(November!A34)</f>
        <v/>
      </c>
      <c r="H665" s="0" t="str">
        <f aca="false">IF(G665="","",IF(COUNTIF(G$2:G665,G665)=1,MAX(H$1:H664)+1,""))</f>
        <v/>
      </c>
    </row>
    <row r="666" customFormat="false" ht="15" hidden="false" customHeight="false" outlineLevel="0" collapsed="false">
      <c r="G666" s="0" t="str">
        <f aca="false">TRIM(November!A37)</f>
        <v>Nagybevásárlások</v>
      </c>
      <c r="H666" s="0" t="str">
        <f aca="false">IF(G666="","",IF(COUNTIF(G$2:G666,G666)=1,MAX(H$1:H665)+1,""))</f>
        <v/>
      </c>
    </row>
    <row r="667" customFormat="false" ht="15" hidden="false" customHeight="false" outlineLevel="0" collapsed="false">
      <c r="G667" s="0" t="str">
        <f aca="false">TRIM(November!A38)</f>
        <v>Drogéria</v>
      </c>
      <c r="H667" s="0" t="str">
        <f aca="false">IF(G667="","",IF(COUNTIF(G$2:G667,G667)=1,MAX(H$1:H666)+1,""))</f>
        <v/>
      </c>
    </row>
    <row r="668" customFormat="false" ht="15" hidden="false" customHeight="false" outlineLevel="0" collapsed="false">
      <c r="G668" s="0" t="str">
        <f aca="false">TRIM(November!A39)</f>
        <v>Ételrendelés</v>
      </c>
      <c r="H668" s="0" t="str">
        <f aca="false">IF(G668="","",IF(COUNTIF(G$2:G668,G668)=1,MAX(H$1:H667)+1,""))</f>
        <v/>
      </c>
    </row>
    <row r="669" customFormat="false" ht="15" hidden="false" customHeight="false" outlineLevel="0" collapsed="false">
      <c r="G669" s="0" t="str">
        <f aca="false">TRIM(November!A40)</f>
        <v>Egyéb élelmiszer, bevásárlás</v>
      </c>
      <c r="H669" s="0" t="str">
        <f aca="false">IF(G669="","",IF(COUNTIF(G$2:G669,G669)=1,MAX(H$1:H668)+1,""))</f>
        <v/>
      </c>
    </row>
    <row r="670" customFormat="false" ht="15" hidden="false" customHeight="false" outlineLevel="0" collapsed="false">
      <c r="G670" s="0" t="str">
        <f aca="false">TRIM(November!A41)</f>
        <v/>
      </c>
      <c r="H670" s="0" t="str">
        <f aca="false">IF(G670="","",IF(COUNTIF(G$2:G670,G670)=1,MAX(H$1:H669)+1,""))</f>
        <v/>
      </c>
    </row>
    <row r="671" customFormat="false" ht="15" hidden="false" customHeight="false" outlineLevel="0" collapsed="false">
      <c r="G671" s="0" t="str">
        <f aca="false">TRIM(November!A44)</f>
        <v>Lakásbiztosítás</v>
      </c>
      <c r="H671" s="0" t="str">
        <f aca="false">IF(G671="","",IF(COUNTIF(G$2:G671,G671)=1,MAX(H$1:H670)+1,""))</f>
        <v/>
      </c>
    </row>
    <row r="672" customFormat="false" ht="15" hidden="false" customHeight="false" outlineLevel="0" collapsed="false">
      <c r="G672" s="0" t="str">
        <f aca="false">TRIM(November!A45)</f>
        <v>Életbiztosítás</v>
      </c>
      <c r="H672" s="0" t="str">
        <f aca="false">IF(G672="","",IF(COUNTIF(G$2:G672,G672)=1,MAX(H$1:H671)+1,""))</f>
        <v/>
      </c>
    </row>
    <row r="673" customFormat="false" ht="15" hidden="false" customHeight="false" outlineLevel="0" collapsed="false">
      <c r="G673" s="0" t="str">
        <f aca="false">TRIM(November!A46)</f>
        <v>Baleset- és betegségbiztosítás</v>
      </c>
      <c r="H673" s="0" t="str">
        <f aca="false">IF(G673="","",IF(COUNTIF(G$2:G673,G673)=1,MAX(H$1:H672)+1,""))</f>
        <v/>
      </c>
    </row>
    <row r="674" customFormat="false" ht="15" hidden="false" customHeight="false" outlineLevel="0" collapsed="false">
      <c r="G674" s="0" t="str">
        <f aca="false">TRIM(November!A47)</f>
        <v>Egészségbiztosítás</v>
      </c>
      <c r="H674" s="0" t="str">
        <f aca="false">IF(G674="","",IF(COUNTIF(G$2:G674,G674)=1,MAX(H$1:H673)+1,""))</f>
        <v/>
      </c>
    </row>
    <row r="675" customFormat="false" ht="15" hidden="false" customHeight="false" outlineLevel="0" collapsed="false">
      <c r="G675" s="0" t="str">
        <f aca="false">TRIM(November!A48)</f>
        <v>Hiteltörlesztés</v>
      </c>
      <c r="H675" s="0" t="str">
        <f aca="false">IF(G675="","",IF(COUNTIF(G$2:G675,G675)=1,MAX(H$1:H674)+1,""))</f>
        <v/>
      </c>
    </row>
    <row r="676" customFormat="false" ht="15" hidden="false" customHeight="false" outlineLevel="0" collapsed="false">
      <c r="G676" s="0" t="str">
        <f aca="false">TRIM(November!A49)</f>
        <v>Egyéb szerződés</v>
      </c>
      <c r="H676" s="0" t="str">
        <f aca="false">IF(G676="","",IF(COUNTIF(G$2:G676,G676)=1,MAX(H$1:H675)+1,""))</f>
        <v/>
      </c>
    </row>
    <row r="677" customFormat="false" ht="15" hidden="false" customHeight="false" outlineLevel="0" collapsed="false">
      <c r="G677" s="0" t="str">
        <f aca="false">TRIM(November!A50)</f>
        <v/>
      </c>
      <c r="H677" s="0" t="str">
        <f aca="false">IF(G677="","",IF(COUNTIF(G$2:G677,G677)=1,MAX(H$1:H676)+1,""))</f>
        <v/>
      </c>
    </row>
    <row r="678" customFormat="false" ht="15" hidden="false" customHeight="false" outlineLevel="0" collapsed="false">
      <c r="G678" s="0" t="str">
        <f aca="false">TRIM(November!A51)</f>
        <v/>
      </c>
      <c r="H678" s="0" t="str">
        <f aca="false">IF(G678="","",IF(COUNTIF(G$2:G678,G678)=1,MAX(H$1:H677)+1,""))</f>
        <v/>
      </c>
    </row>
    <row r="679" customFormat="false" ht="15" hidden="false" customHeight="false" outlineLevel="0" collapsed="false">
      <c r="G679" s="0" t="str">
        <f aca="false">TRIM(November!A54)</f>
        <v>Üzemanyag, elektromos töltés</v>
      </c>
      <c r="H679" s="0" t="str">
        <f aca="false">IF(G679="","",IF(COUNTIF(G$2:G679,G679)=1,MAX(H$1:H678)+1,""))</f>
        <v/>
      </c>
    </row>
    <row r="680" customFormat="false" ht="15" hidden="false" customHeight="false" outlineLevel="0" collapsed="false">
      <c r="G680" s="0" t="str">
        <f aca="false">TRIM(November!A55)</f>
        <v>Parkolás, útdíj, autópálya-matrica</v>
      </c>
      <c r="H680" s="0" t="str">
        <f aca="false">IF(G680="","",IF(COUNTIF(G$2:G680,G680)=1,MAX(H$1:H679)+1,""))</f>
        <v/>
      </c>
    </row>
    <row r="681" customFormat="false" ht="15" hidden="false" customHeight="false" outlineLevel="0" collapsed="false">
      <c r="G681" s="0" t="str">
        <f aca="false">TRIM(November!A56)</f>
        <v>Szerviz, karbantartás, gumicsere</v>
      </c>
      <c r="H681" s="0" t="str">
        <f aca="false">IF(G681="","",IF(COUNTIF(G$2:G681,G681)=1,MAX(H$1:H680)+1,""))</f>
        <v/>
      </c>
    </row>
    <row r="682" customFormat="false" ht="15" hidden="false" customHeight="false" outlineLevel="0" collapsed="false">
      <c r="G682" s="0" t="str">
        <f aca="false">TRIM(November!A57)</f>
        <v>KGFB (kötelező biztosítás)</v>
      </c>
      <c r="H682" s="0" t="str">
        <f aca="false">IF(G682="","",IF(COUNTIF(G$2:G682,G682)=1,MAX(H$1:H681)+1,""))</f>
        <v/>
      </c>
    </row>
    <row r="683" customFormat="false" ht="15" hidden="false" customHeight="false" outlineLevel="0" collapsed="false">
      <c r="G683" s="0" t="str">
        <f aca="false">TRIM(November!A58)</f>
        <v>CASCO</v>
      </c>
      <c r="H683" s="0" t="str">
        <f aca="false">IF(G683="","",IF(COUNTIF(G$2:G683,G683)=1,MAX(H$1:H682)+1,""))</f>
        <v/>
      </c>
    </row>
    <row r="684" customFormat="false" ht="15" hidden="false" customHeight="false" outlineLevel="0" collapsed="false">
      <c r="G684" s="0" t="str">
        <f aca="false">TRIM(November!A59)</f>
        <v>Gépjárműadó</v>
      </c>
      <c r="H684" s="0" t="str">
        <f aca="false">IF(G684="","",IF(COUNTIF(G$2:G684,G684)=1,MAX(H$1:H683)+1,""))</f>
        <v/>
      </c>
    </row>
    <row r="685" customFormat="false" ht="15" hidden="false" customHeight="false" outlineLevel="0" collapsed="false">
      <c r="G685" s="0" t="str">
        <f aca="false">TRIM(November!A60)</f>
        <v>Autóhitel, lízing részlet</v>
      </c>
      <c r="H685" s="0" t="str">
        <f aca="false">IF(G685="","",IF(COUNTIF(G$2:G685,G685)=1,MAX(H$1:H684)+1,""))</f>
        <v/>
      </c>
    </row>
    <row r="686" customFormat="false" ht="15" hidden="false" customHeight="false" outlineLevel="0" collapsed="false">
      <c r="G686" s="0" t="str">
        <f aca="false">TRIM(November!A61)</f>
        <v>Autómosás, egyéb autós költség</v>
      </c>
      <c r="H686" s="0" t="str">
        <f aca="false">IF(G686="","",IF(COUNTIF(G$2:G686,G686)=1,MAX(H$1:H685)+1,""))</f>
        <v/>
      </c>
    </row>
    <row r="687" customFormat="false" ht="15" hidden="false" customHeight="false" outlineLevel="0" collapsed="false">
      <c r="G687" s="0" t="str">
        <f aca="false">TRIM(November!A62)</f>
        <v>Tömegközlekedés, bérlet</v>
      </c>
      <c r="H687" s="0" t="str">
        <f aca="false">IF(G687="","",IF(COUNTIF(G$2:G687,G687)=1,MAX(H$1:H686)+1,""))</f>
        <v/>
      </c>
    </row>
    <row r="688" customFormat="false" ht="15" hidden="false" customHeight="false" outlineLevel="0" collapsed="false">
      <c r="G688" s="0" t="str">
        <f aca="false">TRIM(November!A63)</f>
        <v>Taxi, roller, bicikli, közösségi közlekedés</v>
      </c>
      <c r="H688" s="0" t="str">
        <f aca="false">IF(G688="","",IF(COUNTIF(G$2:G688,G688)=1,MAX(H$1:H687)+1,""))</f>
        <v/>
      </c>
    </row>
    <row r="689" customFormat="false" ht="15" hidden="false" customHeight="false" outlineLevel="0" collapsed="false">
      <c r="G689" s="0" t="str">
        <f aca="false">TRIM(November!A64)</f>
        <v/>
      </c>
      <c r="H689" s="0" t="str">
        <f aca="false">IF(G689="","",IF(COUNTIF(G$2:G689,G689)=1,MAX(H$1:H688)+1,""))</f>
        <v/>
      </c>
    </row>
    <row r="690" customFormat="false" ht="15" hidden="false" customHeight="false" outlineLevel="0" collapsed="false">
      <c r="G690" s="0" t="str">
        <f aca="false">TRIM(November!A65)</f>
        <v/>
      </c>
      <c r="H690" s="0" t="str">
        <f aca="false">IF(G690="","",IF(COUNTIF(G$2:G690,G690)=1,MAX(H$1:H689)+1,""))</f>
        <v/>
      </c>
    </row>
    <row r="691" customFormat="false" ht="15" hidden="false" customHeight="false" outlineLevel="0" collapsed="false">
      <c r="G691" s="0" t="str">
        <f aca="false">TRIM(November!A68)</f>
        <v>Gyerek ruha, cipő</v>
      </c>
      <c r="H691" s="0" t="str">
        <f aca="false">IF(G691="","",IF(COUNTIF(G$2:G691,G691)=1,MAX(H$1:H690)+1,""))</f>
        <v/>
      </c>
    </row>
    <row r="692" customFormat="false" ht="15" hidden="false" customHeight="false" outlineLevel="0" collapsed="false">
      <c r="G692" s="0" t="str">
        <f aca="false">TRIM(November!A69)</f>
        <v>Gyerek étkeztetés (menza)</v>
      </c>
      <c r="H692" s="0" t="str">
        <f aca="false">IF(G692="","",IF(COUNTIF(G$2:G692,G692)=1,MAX(H$1:H691)+1,""))</f>
        <v/>
      </c>
    </row>
    <row r="693" customFormat="false" ht="15" hidden="false" customHeight="false" outlineLevel="0" collapsed="false">
      <c r="G693" s="0" t="str">
        <f aca="false">TRIM(November!A70)</f>
        <v>Bölcsőde, óvoda, iskola díjai</v>
      </c>
      <c r="H693" s="0" t="str">
        <f aca="false">IF(G693="","",IF(COUNTIF(G$2:G693,G693)=1,MAX(H$1:H692)+1,""))</f>
        <v/>
      </c>
    </row>
    <row r="694" customFormat="false" ht="15" hidden="false" customHeight="false" outlineLevel="0" collapsed="false">
      <c r="G694" s="0" t="str">
        <f aca="false">TRIM(November!A71)</f>
        <v>Tankönyv, tanszer</v>
      </c>
      <c r="H694" s="0" t="str">
        <f aca="false">IF(G694="","",IF(COUNTIF(G$2:G694,G694)=1,MAX(H$1:H693)+1,""))</f>
        <v/>
      </c>
    </row>
    <row r="695" customFormat="false" ht="15" hidden="false" customHeight="false" outlineLevel="0" collapsed="false">
      <c r="G695" s="0" t="str">
        <f aca="false">TRIM(November!A72)</f>
        <v>Különórák, edzések</v>
      </c>
      <c r="H695" s="0" t="str">
        <f aca="false">IF(G695="","",IF(COUNTIF(G$2:G695,G695)=1,MAX(H$1:H694)+1,""))</f>
        <v/>
      </c>
    </row>
    <row r="696" customFormat="false" ht="15" hidden="false" customHeight="false" outlineLevel="0" collapsed="false">
      <c r="G696" s="0" t="str">
        <f aca="false">TRIM(November!A73)</f>
        <v>Magánóra, korrepetálás</v>
      </c>
      <c r="H696" s="0" t="str">
        <f aca="false">IF(G696="","",IF(COUNTIF(G$2:G696,G696)=1,MAX(H$1:H695)+1,""))</f>
        <v/>
      </c>
    </row>
    <row r="697" customFormat="false" ht="15" hidden="false" customHeight="false" outlineLevel="0" collapsed="false">
      <c r="G697" s="0" t="str">
        <f aca="false">TRIM(November!A74)</f>
        <v>Zsebpénz</v>
      </c>
      <c r="H697" s="0" t="str">
        <f aca="false">IF(G697="","",IF(COUNTIF(G$2:G697,G697)=1,MAX(H$1:H696)+1,""))</f>
        <v/>
      </c>
    </row>
    <row r="698" customFormat="false" ht="15" hidden="false" customHeight="false" outlineLevel="0" collapsed="false">
      <c r="G698" s="0" t="str">
        <f aca="false">TRIM(November!A75)</f>
        <v>Játékok, szórakozás</v>
      </c>
      <c r="H698" s="0" t="str">
        <f aca="false">IF(G698="","",IF(COUNTIF(G$2:G698,G698)=1,MAX(H$1:H697)+1,""))</f>
        <v/>
      </c>
    </row>
    <row r="699" customFormat="false" ht="15" hidden="false" customHeight="false" outlineLevel="0" collapsed="false">
      <c r="G699" s="0" t="str">
        <f aca="false">TRIM(November!A76)</f>
        <v/>
      </c>
      <c r="H699" s="0" t="str">
        <f aca="false">IF(G699="","",IF(COUNTIF(G$2:G699,G699)=1,MAX(H$1:H698)+1,""))</f>
        <v/>
      </c>
    </row>
    <row r="700" customFormat="false" ht="15" hidden="false" customHeight="false" outlineLevel="0" collapsed="false">
      <c r="G700" s="0" t="str">
        <f aca="false">TRIM(November!A77)</f>
        <v/>
      </c>
      <c r="H700" s="0" t="str">
        <f aca="false">IF(G700="","",IF(COUNTIF(G$2:G700,G700)=1,MAX(H$1:H699)+1,""))</f>
        <v/>
      </c>
    </row>
    <row r="701" customFormat="false" ht="15" hidden="false" customHeight="false" outlineLevel="0" collapsed="false">
      <c r="G701" s="0" t="str">
        <f aca="false">TRIM(November!A78)</f>
        <v/>
      </c>
      <c r="H701" s="0" t="str">
        <f aca="false">IF(G701="","",IF(COUNTIF(G$2:G701,G701)=1,MAX(H$1:H700)+1,""))</f>
        <v/>
      </c>
    </row>
    <row r="702" customFormat="false" ht="15" hidden="false" customHeight="false" outlineLevel="0" collapsed="false">
      <c r="G702" s="0" t="str">
        <f aca="false">TRIM(November!A81)</f>
        <v>Ruha</v>
      </c>
      <c r="H702" s="0" t="str">
        <f aca="false">IF(G702="","",IF(COUNTIF(G$2:G702,G702)=1,MAX(H$1:H701)+1,""))</f>
        <v/>
      </c>
    </row>
    <row r="703" customFormat="false" ht="15" hidden="false" customHeight="false" outlineLevel="0" collapsed="false">
      <c r="G703" s="0" t="str">
        <f aca="false">TRIM(November!A82)</f>
        <v>Cipő</v>
      </c>
      <c r="H703" s="0" t="str">
        <f aca="false">IF(G703="","",IF(COUNTIF(G$2:G703,G703)=1,MAX(H$1:H702)+1,""))</f>
        <v/>
      </c>
    </row>
    <row r="704" customFormat="false" ht="15" hidden="false" customHeight="false" outlineLevel="0" collapsed="false">
      <c r="G704" s="0" t="str">
        <f aca="false">TRIM(November!A83)</f>
        <v>Kiegészítők (táska, ékszer, óra)</v>
      </c>
      <c r="H704" s="0" t="str">
        <f aca="false">IF(G704="","",IF(COUNTIF(G$2:G704,G704)=1,MAX(H$1:H703)+1,""))</f>
        <v/>
      </c>
    </row>
    <row r="705" customFormat="false" ht="15" hidden="false" customHeight="false" outlineLevel="0" collapsed="false">
      <c r="G705" s="0" t="str">
        <f aca="false">TRIM(November!A84)</f>
        <v/>
      </c>
      <c r="H705" s="0" t="str">
        <f aca="false">IF(G705="","",IF(COUNTIF(G$2:G705,G705)=1,MAX(H$1:H704)+1,""))</f>
        <v/>
      </c>
    </row>
    <row r="706" customFormat="false" ht="15" hidden="false" customHeight="false" outlineLevel="0" collapsed="false">
      <c r="G706" s="0" t="str">
        <f aca="false">TRIM(November!A87)</f>
        <v>Fodrász, borbély</v>
      </c>
      <c r="H706" s="0" t="str">
        <f aca="false">IF(G706="","",IF(COUNTIF(G$2:G706,G706)=1,MAX(H$1:H705)+1,""))</f>
        <v/>
      </c>
    </row>
    <row r="707" customFormat="false" ht="15" hidden="false" customHeight="false" outlineLevel="0" collapsed="false">
      <c r="G707" s="0" t="str">
        <f aca="false">TRIM(November!A88)</f>
        <v>Kozmetikus, manikűr, pedikűr</v>
      </c>
      <c r="H707" s="0" t="str">
        <f aca="false">IF(G707="","",IF(COUNTIF(G$2:G707,G707)=1,MAX(H$1:H706)+1,""))</f>
        <v/>
      </c>
    </row>
    <row r="708" customFormat="false" ht="15" hidden="false" customHeight="false" outlineLevel="0" collapsed="false">
      <c r="G708" s="0" t="str">
        <f aca="false">TRIM(November!A89)</f>
        <v>Kozmetikumok, parfüm</v>
      </c>
      <c r="H708" s="0" t="str">
        <f aca="false">IF(G708="","",IF(COUNTIF(G$2:G708,G708)=1,MAX(H$1:H707)+1,""))</f>
        <v/>
      </c>
    </row>
    <row r="709" customFormat="false" ht="15" hidden="false" customHeight="false" outlineLevel="0" collapsed="false">
      <c r="G709" s="0" t="str">
        <f aca="false">TRIM(November!A90)</f>
        <v>Edzés, sport, bérlet</v>
      </c>
      <c r="H709" s="0" t="str">
        <f aca="false">IF(G709="","",IF(COUNTIF(G$2:G709,G709)=1,MAX(H$1:H708)+1,""))</f>
        <v/>
      </c>
    </row>
    <row r="710" customFormat="false" ht="15" hidden="false" customHeight="false" outlineLevel="0" collapsed="false">
      <c r="G710" s="0" t="str">
        <f aca="false">TRIM(November!A91)</f>
        <v>Gyógyszer, vitamin</v>
      </c>
      <c r="H710" s="0" t="str">
        <f aca="false">IF(G710="","",IF(COUNTIF(G$2:G710,G710)=1,MAX(H$1:H709)+1,""))</f>
        <v/>
      </c>
    </row>
    <row r="711" customFormat="false" ht="15" hidden="false" customHeight="false" outlineLevel="0" collapsed="false">
      <c r="G711" s="0" t="str">
        <f aca="false">TRIM(November!A92)</f>
        <v>Orvos, fogorvos, magánrendelés</v>
      </c>
      <c r="H711" s="0" t="str">
        <f aca="false">IF(G711="","",IF(COUNTIF(G$2:G711,G711)=1,MAX(H$1:H710)+1,""))</f>
        <v/>
      </c>
    </row>
    <row r="712" customFormat="false" ht="15" hidden="false" customHeight="false" outlineLevel="0" collapsed="false">
      <c r="G712" s="0" t="str">
        <f aca="false">TRIM(November!A93)</f>
        <v/>
      </c>
      <c r="H712" s="0" t="str">
        <f aca="false">IF(G712="","",IF(COUNTIF(G$2:G712,G712)=1,MAX(H$1:H711)+1,""))</f>
        <v/>
      </c>
    </row>
    <row r="713" customFormat="false" ht="15" hidden="false" customHeight="false" outlineLevel="0" collapsed="false">
      <c r="G713" s="0" t="str">
        <f aca="false">TRIM(November!A96)</f>
        <v>Cigaretta, dohány</v>
      </c>
      <c r="H713" s="0" t="str">
        <f aca="false">IF(G713="","",IF(COUNTIF(G$2:G713,G713)=1,MAX(H$1:H712)+1,""))</f>
        <v/>
      </c>
    </row>
    <row r="714" customFormat="false" ht="15" hidden="false" customHeight="false" outlineLevel="0" collapsed="false">
      <c r="G714" s="0" t="str">
        <f aca="false">TRIM(November!A97)</f>
        <v>E-cigaretta, hevített dohánytermék</v>
      </c>
      <c r="H714" s="0" t="str">
        <f aca="false">IF(G714="","",IF(COUNTIF(G$2:G714,G714)=1,MAX(H$1:H713)+1,""))</f>
        <v/>
      </c>
    </row>
    <row r="715" customFormat="false" ht="15" hidden="false" customHeight="false" outlineLevel="0" collapsed="false">
      <c r="G715" s="0" t="str">
        <f aca="false">TRIM(November!A98)</f>
        <v/>
      </c>
      <c r="H715" s="0" t="str">
        <f aca="false">IF(G715="","",IF(COUNTIF(G$2:G715,G715)=1,MAX(H$1:H714)+1,""))</f>
        <v/>
      </c>
    </row>
    <row r="716" customFormat="false" ht="15" hidden="false" customHeight="false" outlineLevel="0" collapsed="false">
      <c r="G716" s="0" t="str">
        <f aca="false">TRIM(November!A101)</f>
        <v>Állateledel, jutalomfalat</v>
      </c>
      <c r="H716" s="0" t="str">
        <f aca="false">IF(G716="","",IF(COUNTIF(G$2:G716,G716)=1,MAX(H$1:H715)+1,""))</f>
        <v/>
      </c>
    </row>
    <row r="717" customFormat="false" ht="15" hidden="false" customHeight="false" outlineLevel="0" collapsed="false">
      <c r="G717" s="0" t="str">
        <f aca="false">TRIM(November!A102)</f>
        <v>Állatorvos, oltások, gyógyszer</v>
      </c>
      <c r="H717" s="0" t="str">
        <f aca="false">IF(G717="","",IF(COUNTIF(G$2:G717,G717)=1,MAX(H$1:H716)+1,""))</f>
        <v/>
      </c>
    </row>
    <row r="718" customFormat="false" ht="15" hidden="false" customHeight="false" outlineLevel="0" collapsed="false">
      <c r="G718" s="0" t="str">
        <f aca="false">TRIM(November!A103)</f>
        <v>Felszerelés, alom, játékok</v>
      </c>
      <c r="H718" s="0" t="str">
        <f aca="false">IF(G718="","",IF(COUNTIF(G$2:G718,G718)=1,MAX(H$1:H717)+1,""))</f>
        <v/>
      </c>
    </row>
    <row r="719" customFormat="false" ht="15" hidden="false" customHeight="false" outlineLevel="0" collapsed="false">
      <c r="G719" s="0" t="str">
        <f aca="false">TRIM(November!A104)</f>
        <v>Kisállat-kozmetika, panzió, kutyaiskola</v>
      </c>
      <c r="H719" s="0" t="str">
        <f aca="false">IF(G719="","",IF(COUNTIF(G$2:G719,G719)=1,MAX(H$1:H718)+1,""))</f>
        <v/>
      </c>
    </row>
    <row r="720" customFormat="false" ht="15" hidden="false" customHeight="false" outlineLevel="0" collapsed="false">
      <c r="G720" s="0" t="str">
        <f aca="false">TRIM(November!A105)</f>
        <v/>
      </c>
      <c r="H720" s="0" t="str">
        <f aca="false">IF(G720="","",IF(COUNTIF(G$2:G720,G720)=1,MAX(H$1:H719)+1,""))</f>
        <v/>
      </c>
    </row>
    <row r="721" customFormat="false" ht="15" hidden="false" customHeight="false" outlineLevel="0" collapsed="false">
      <c r="G721" s="0" t="str">
        <f aca="false">TRIM(November!A108)</f>
        <v>Hobbi</v>
      </c>
      <c r="H721" s="0" t="str">
        <f aca="false">IF(G721="","",IF(COUNTIF(G$2:G721,G721)=1,MAX(H$1:H720)+1,""))</f>
        <v/>
      </c>
    </row>
    <row r="722" customFormat="false" ht="15" hidden="false" customHeight="false" outlineLevel="0" collapsed="false">
      <c r="G722" s="0" t="str">
        <f aca="false">TRIM(November!A109)</f>
        <v>Szórakozás (mozi, színház, koncert, étterem)</v>
      </c>
      <c r="H722" s="0" t="str">
        <f aca="false">IF(G722="","",IF(COUNTIF(G$2:G722,G722)=1,MAX(H$1:H721)+1,""))</f>
        <v/>
      </c>
    </row>
    <row r="723" customFormat="false" ht="15" hidden="false" customHeight="false" outlineLevel="0" collapsed="false">
      <c r="G723" s="0" t="str">
        <f aca="false">TRIM(November!A110)</f>
        <v>Nyaralás, utazás</v>
      </c>
      <c r="H723" s="0" t="str">
        <f aca="false">IF(G723="","",IF(COUNTIF(G$2:G723,G723)=1,MAX(H$1:H722)+1,""))</f>
        <v/>
      </c>
    </row>
    <row r="724" customFormat="false" ht="15" hidden="false" customHeight="false" outlineLevel="0" collapsed="false">
      <c r="G724" s="0" t="str">
        <f aca="false">TRIM(November!A111)</f>
        <v/>
      </c>
      <c r="H724" s="0" t="str">
        <f aca="false">IF(G724="","",IF(COUNTIF(G$2:G724,G724)=1,MAX(H$1:H723)+1,""))</f>
        <v/>
      </c>
    </row>
    <row r="725" customFormat="false" ht="15" hidden="false" customHeight="false" outlineLevel="0" collapsed="false">
      <c r="G725" s="0" t="str">
        <f aca="false">TRIM(November!A114)</f>
        <v>Ünnepek, ajándékok</v>
      </c>
      <c r="H725" s="0" t="str">
        <f aca="false">IF(G725="","",IF(COUNTIF(G$2:G725,G725)=1,MAX(H$1:H724)+1,""))</f>
        <v/>
      </c>
    </row>
    <row r="726" customFormat="false" ht="15" hidden="false" customHeight="false" outlineLevel="0" collapsed="false">
      <c r="G726" s="0" t="str">
        <f aca="false">TRIM(November!A115)</f>
        <v>Egyéb kiadás</v>
      </c>
      <c r="H726" s="0" t="str">
        <f aca="false">IF(G726="","",IF(COUNTIF(G$2:G726,G726)=1,MAX(H$1:H725)+1,""))</f>
        <v/>
      </c>
    </row>
    <row r="727" customFormat="false" ht="15" hidden="false" customHeight="false" outlineLevel="0" collapsed="false">
      <c r="G727" s="0" t="str">
        <f aca="false">TRIM(November!A116)</f>
        <v/>
      </c>
      <c r="H727" s="0" t="str">
        <f aca="false">IF(G727="","",IF(COUNTIF(G$2:G727,G727)=1,MAX(H$1:H726)+1,""))</f>
        <v/>
      </c>
    </row>
    <row r="728" customFormat="false" ht="15" hidden="false" customHeight="false" outlineLevel="0" collapsed="false">
      <c r="G728" s="0" t="str">
        <f aca="false">TRIM(December!A31)</f>
        <v>Albérleti díj / lakáshitel</v>
      </c>
      <c r="H728" s="0" t="str">
        <f aca="false">IF(G728="","",IF(COUNTIF(G$2:G728,G728)=1,MAX(H$1:H727)+1,""))</f>
        <v/>
      </c>
    </row>
    <row r="729" customFormat="false" ht="15" hidden="false" customHeight="false" outlineLevel="0" collapsed="false">
      <c r="G729" s="0" t="str">
        <f aca="false">TRIM(December!A32)</f>
        <v>Rezsi (közművek, közös költség)</v>
      </c>
      <c r="H729" s="0" t="str">
        <f aca="false">IF(G729="","",IF(COUNTIF(G$2:G729,G729)=1,MAX(H$1:H728)+1,""))</f>
        <v/>
      </c>
    </row>
    <row r="730" customFormat="false" ht="15" hidden="false" customHeight="false" outlineLevel="0" collapsed="false">
      <c r="G730" s="0" t="str">
        <f aca="false">TRIM(December!A33)</f>
        <v>Telefon, internet, digitális előfizetések</v>
      </c>
      <c r="H730" s="0" t="str">
        <f aca="false">IF(G730="","",IF(COUNTIF(G$2:G730,G730)=1,MAX(H$1:H729)+1,""))</f>
        <v/>
      </c>
    </row>
    <row r="731" customFormat="false" ht="15" hidden="false" customHeight="false" outlineLevel="0" collapsed="false">
      <c r="G731" s="0" t="str">
        <f aca="false">TRIM(December!A34)</f>
        <v/>
      </c>
      <c r="H731" s="0" t="str">
        <f aca="false">IF(G731="","",IF(COUNTIF(G$2:G731,G731)=1,MAX(H$1:H730)+1,""))</f>
        <v/>
      </c>
    </row>
    <row r="732" customFormat="false" ht="15" hidden="false" customHeight="false" outlineLevel="0" collapsed="false">
      <c r="G732" s="0" t="str">
        <f aca="false">TRIM(December!A37)</f>
        <v>Nagybevásárlások</v>
      </c>
      <c r="H732" s="0" t="str">
        <f aca="false">IF(G732="","",IF(COUNTIF(G$2:G732,G732)=1,MAX(H$1:H731)+1,""))</f>
        <v/>
      </c>
    </row>
    <row r="733" customFormat="false" ht="15" hidden="false" customHeight="false" outlineLevel="0" collapsed="false">
      <c r="G733" s="0" t="str">
        <f aca="false">TRIM(December!A38)</f>
        <v>Drogéria</v>
      </c>
      <c r="H733" s="0" t="str">
        <f aca="false">IF(G733="","",IF(COUNTIF(G$2:G733,G733)=1,MAX(H$1:H732)+1,""))</f>
        <v/>
      </c>
    </row>
    <row r="734" customFormat="false" ht="15" hidden="false" customHeight="false" outlineLevel="0" collapsed="false">
      <c r="G734" s="0" t="str">
        <f aca="false">TRIM(December!A39)</f>
        <v>Ételrendelés</v>
      </c>
      <c r="H734" s="0" t="str">
        <f aca="false">IF(G734="","",IF(COUNTIF(G$2:G734,G734)=1,MAX(H$1:H733)+1,""))</f>
        <v/>
      </c>
    </row>
    <row r="735" customFormat="false" ht="15" hidden="false" customHeight="false" outlineLevel="0" collapsed="false">
      <c r="G735" s="0" t="str">
        <f aca="false">TRIM(December!A40)</f>
        <v>Egyéb élelmiszer, bevásárlás</v>
      </c>
      <c r="H735" s="0" t="str">
        <f aca="false">IF(G735="","",IF(COUNTIF(G$2:G735,G735)=1,MAX(H$1:H734)+1,""))</f>
        <v/>
      </c>
    </row>
    <row r="736" customFormat="false" ht="15" hidden="false" customHeight="false" outlineLevel="0" collapsed="false">
      <c r="G736" s="0" t="str">
        <f aca="false">TRIM(December!A41)</f>
        <v/>
      </c>
      <c r="H736" s="0" t="str">
        <f aca="false">IF(G736="","",IF(COUNTIF(G$2:G736,G736)=1,MAX(H$1:H735)+1,""))</f>
        <v/>
      </c>
    </row>
    <row r="737" customFormat="false" ht="15" hidden="false" customHeight="false" outlineLevel="0" collapsed="false">
      <c r="G737" s="0" t="str">
        <f aca="false">TRIM(December!A44)</f>
        <v>Lakásbiztosítás</v>
      </c>
      <c r="H737" s="0" t="str">
        <f aca="false">IF(G737="","",IF(COUNTIF(G$2:G737,G737)=1,MAX(H$1:H736)+1,""))</f>
        <v/>
      </c>
    </row>
    <row r="738" customFormat="false" ht="15" hidden="false" customHeight="false" outlineLevel="0" collapsed="false">
      <c r="G738" s="0" t="str">
        <f aca="false">TRIM(December!A45)</f>
        <v>Életbiztosítás</v>
      </c>
      <c r="H738" s="0" t="str">
        <f aca="false">IF(G738="","",IF(COUNTIF(G$2:G738,G738)=1,MAX(H$1:H737)+1,""))</f>
        <v/>
      </c>
    </row>
    <row r="739" customFormat="false" ht="15" hidden="false" customHeight="false" outlineLevel="0" collapsed="false">
      <c r="G739" s="0" t="str">
        <f aca="false">TRIM(December!A46)</f>
        <v>Baleset- és betegségbiztosítás</v>
      </c>
      <c r="H739" s="0" t="str">
        <f aca="false">IF(G739="","",IF(COUNTIF(G$2:G739,G739)=1,MAX(H$1:H738)+1,""))</f>
        <v/>
      </c>
    </row>
    <row r="740" customFormat="false" ht="15" hidden="false" customHeight="false" outlineLevel="0" collapsed="false">
      <c r="G740" s="0" t="str">
        <f aca="false">TRIM(December!A47)</f>
        <v>Egészségbiztosítás</v>
      </c>
      <c r="H740" s="0" t="str">
        <f aca="false">IF(G740="","",IF(COUNTIF(G$2:G740,G740)=1,MAX(H$1:H739)+1,""))</f>
        <v/>
      </c>
    </row>
    <row r="741" customFormat="false" ht="15" hidden="false" customHeight="false" outlineLevel="0" collapsed="false">
      <c r="G741" s="0" t="str">
        <f aca="false">TRIM(December!A48)</f>
        <v>Hiteltörlesztés</v>
      </c>
      <c r="H741" s="0" t="str">
        <f aca="false">IF(G741="","",IF(COUNTIF(G$2:G741,G741)=1,MAX(H$1:H740)+1,""))</f>
        <v/>
      </c>
    </row>
    <row r="742" customFormat="false" ht="15" hidden="false" customHeight="false" outlineLevel="0" collapsed="false">
      <c r="G742" s="0" t="str">
        <f aca="false">TRIM(December!A49)</f>
        <v>Egyéb szerződés</v>
      </c>
      <c r="H742" s="0" t="str">
        <f aca="false">IF(G742="","",IF(COUNTIF(G$2:G742,G742)=1,MAX(H$1:H741)+1,""))</f>
        <v/>
      </c>
    </row>
    <row r="743" customFormat="false" ht="15" hidden="false" customHeight="false" outlineLevel="0" collapsed="false">
      <c r="G743" s="0" t="str">
        <f aca="false">TRIM(December!A50)</f>
        <v/>
      </c>
      <c r="H743" s="0" t="str">
        <f aca="false">IF(G743="","",IF(COUNTIF(G$2:G743,G743)=1,MAX(H$1:H742)+1,""))</f>
        <v/>
      </c>
    </row>
    <row r="744" customFormat="false" ht="15" hidden="false" customHeight="false" outlineLevel="0" collapsed="false">
      <c r="G744" s="0" t="str">
        <f aca="false">TRIM(December!A51)</f>
        <v/>
      </c>
      <c r="H744" s="0" t="str">
        <f aca="false">IF(G744="","",IF(COUNTIF(G$2:G744,G744)=1,MAX(H$1:H743)+1,""))</f>
        <v/>
      </c>
    </row>
    <row r="745" customFormat="false" ht="15" hidden="false" customHeight="false" outlineLevel="0" collapsed="false">
      <c r="G745" s="0" t="str">
        <f aca="false">TRIM(December!A54)</f>
        <v>Üzemanyag, elektromos töltés</v>
      </c>
      <c r="H745" s="0" t="str">
        <f aca="false">IF(G745="","",IF(COUNTIF(G$2:G745,G745)=1,MAX(H$1:H744)+1,""))</f>
        <v/>
      </c>
    </row>
    <row r="746" customFormat="false" ht="15" hidden="false" customHeight="false" outlineLevel="0" collapsed="false">
      <c r="G746" s="0" t="str">
        <f aca="false">TRIM(December!A55)</f>
        <v>Parkolás, útdíj, autópálya-matrica</v>
      </c>
      <c r="H746" s="0" t="str">
        <f aca="false">IF(G746="","",IF(COUNTIF(G$2:G746,G746)=1,MAX(H$1:H745)+1,""))</f>
        <v/>
      </c>
    </row>
    <row r="747" customFormat="false" ht="15" hidden="false" customHeight="false" outlineLevel="0" collapsed="false">
      <c r="G747" s="0" t="str">
        <f aca="false">TRIM(December!A56)</f>
        <v>Szerviz, karbantartás, gumicsere</v>
      </c>
      <c r="H747" s="0" t="str">
        <f aca="false">IF(G747="","",IF(COUNTIF(G$2:G747,G747)=1,MAX(H$1:H746)+1,""))</f>
        <v/>
      </c>
    </row>
    <row r="748" customFormat="false" ht="15" hidden="false" customHeight="false" outlineLevel="0" collapsed="false">
      <c r="G748" s="0" t="str">
        <f aca="false">TRIM(December!A57)</f>
        <v>KGFB (kötelező biztosítás)</v>
      </c>
      <c r="H748" s="0" t="str">
        <f aca="false">IF(G748="","",IF(COUNTIF(G$2:G748,G748)=1,MAX(H$1:H747)+1,""))</f>
        <v/>
      </c>
    </row>
    <row r="749" customFormat="false" ht="15" hidden="false" customHeight="false" outlineLevel="0" collapsed="false">
      <c r="G749" s="0" t="str">
        <f aca="false">TRIM(December!A58)</f>
        <v>CASCO</v>
      </c>
      <c r="H749" s="0" t="str">
        <f aca="false">IF(G749="","",IF(COUNTIF(G$2:G749,G749)=1,MAX(H$1:H748)+1,""))</f>
        <v/>
      </c>
    </row>
    <row r="750" customFormat="false" ht="15" hidden="false" customHeight="false" outlineLevel="0" collapsed="false">
      <c r="G750" s="0" t="str">
        <f aca="false">TRIM(December!A59)</f>
        <v>Gépjárműadó</v>
      </c>
      <c r="H750" s="0" t="str">
        <f aca="false">IF(G750="","",IF(COUNTIF(G$2:G750,G750)=1,MAX(H$1:H749)+1,""))</f>
        <v/>
      </c>
    </row>
    <row r="751" customFormat="false" ht="15" hidden="false" customHeight="false" outlineLevel="0" collapsed="false">
      <c r="G751" s="0" t="str">
        <f aca="false">TRIM(December!A60)</f>
        <v>Autóhitel, lízing részlet</v>
      </c>
      <c r="H751" s="0" t="str">
        <f aca="false">IF(G751="","",IF(COUNTIF(G$2:G751,G751)=1,MAX(H$1:H750)+1,""))</f>
        <v/>
      </c>
    </row>
    <row r="752" customFormat="false" ht="15" hidden="false" customHeight="false" outlineLevel="0" collapsed="false">
      <c r="G752" s="0" t="str">
        <f aca="false">TRIM(December!A61)</f>
        <v>Autómosás, egyéb autós költség</v>
      </c>
      <c r="H752" s="0" t="str">
        <f aca="false">IF(G752="","",IF(COUNTIF(G$2:G752,G752)=1,MAX(H$1:H751)+1,""))</f>
        <v/>
      </c>
    </row>
    <row r="753" customFormat="false" ht="15" hidden="false" customHeight="false" outlineLevel="0" collapsed="false">
      <c r="G753" s="0" t="str">
        <f aca="false">TRIM(December!A62)</f>
        <v>Tömegközlekedés, bérlet</v>
      </c>
      <c r="H753" s="0" t="str">
        <f aca="false">IF(G753="","",IF(COUNTIF(G$2:G753,G753)=1,MAX(H$1:H752)+1,""))</f>
        <v/>
      </c>
    </row>
    <row r="754" customFormat="false" ht="15" hidden="false" customHeight="false" outlineLevel="0" collapsed="false">
      <c r="G754" s="0" t="str">
        <f aca="false">TRIM(December!A63)</f>
        <v>Taxi, roller, bicikli, közösségi közlekedés</v>
      </c>
      <c r="H754" s="0" t="str">
        <f aca="false">IF(G754="","",IF(COUNTIF(G$2:G754,G754)=1,MAX(H$1:H753)+1,""))</f>
        <v/>
      </c>
    </row>
    <row r="755" customFormat="false" ht="15" hidden="false" customHeight="false" outlineLevel="0" collapsed="false">
      <c r="G755" s="0" t="str">
        <f aca="false">TRIM(December!A64)</f>
        <v/>
      </c>
      <c r="H755" s="0" t="str">
        <f aca="false">IF(G755="","",IF(COUNTIF(G$2:G755,G755)=1,MAX(H$1:H754)+1,""))</f>
        <v/>
      </c>
    </row>
    <row r="756" customFormat="false" ht="15" hidden="false" customHeight="false" outlineLevel="0" collapsed="false">
      <c r="G756" s="0" t="str">
        <f aca="false">TRIM(December!A65)</f>
        <v/>
      </c>
      <c r="H756" s="0" t="str">
        <f aca="false">IF(G756="","",IF(COUNTIF(G$2:G756,G756)=1,MAX(H$1:H755)+1,""))</f>
        <v/>
      </c>
    </row>
    <row r="757" customFormat="false" ht="15" hidden="false" customHeight="false" outlineLevel="0" collapsed="false">
      <c r="G757" s="0" t="str">
        <f aca="false">TRIM(December!A68)</f>
        <v>Gyerek ruha, cipő</v>
      </c>
      <c r="H757" s="0" t="str">
        <f aca="false">IF(G757="","",IF(COUNTIF(G$2:G757,G757)=1,MAX(H$1:H756)+1,""))</f>
        <v/>
      </c>
    </row>
    <row r="758" customFormat="false" ht="15" hidden="false" customHeight="false" outlineLevel="0" collapsed="false">
      <c r="G758" s="0" t="str">
        <f aca="false">TRIM(December!A69)</f>
        <v>Gyerek étkeztetés (menza)</v>
      </c>
      <c r="H758" s="0" t="str">
        <f aca="false">IF(G758="","",IF(COUNTIF(G$2:G758,G758)=1,MAX(H$1:H757)+1,""))</f>
        <v/>
      </c>
    </row>
    <row r="759" customFormat="false" ht="15" hidden="false" customHeight="false" outlineLevel="0" collapsed="false">
      <c r="G759" s="0" t="str">
        <f aca="false">TRIM(December!A70)</f>
        <v>Bölcsőde, óvoda, iskola díjai</v>
      </c>
      <c r="H759" s="0" t="str">
        <f aca="false">IF(G759="","",IF(COUNTIF(G$2:G759,G759)=1,MAX(H$1:H758)+1,""))</f>
        <v/>
      </c>
    </row>
    <row r="760" customFormat="false" ht="15" hidden="false" customHeight="false" outlineLevel="0" collapsed="false">
      <c r="G760" s="0" t="str">
        <f aca="false">TRIM(December!A71)</f>
        <v>Tankönyv, tanszer</v>
      </c>
      <c r="H760" s="0" t="str">
        <f aca="false">IF(G760="","",IF(COUNTIF(G$2:G760,G760)=1,MAX(H$1:H759)+1,""))</f>
        <v/>
      </c>
    </row>
    <row r="761" customFormat="false" ht="15" hidden="false" customHeight="false" outlineLevel="0" collapsed="false">
      <c r="G761" s="0" t="str">
        <f aca="false">TRIM(December!A72)</f>
        <v>Különórák, edzések</v>
      </c>
      <c r="H761" s="0" t="str">
        <f aca="false">IF(G761="","",IF(COUNTIF(G$2:G761,G761)=1,MAX(H$1:H760)+1,""))</f>
        <v/>
      </c>
    </row>
    <row r="762" customFormat="false" ht="15" hidden="false" customHeight="false" outlineLevel="0" collapsed="false">
      <c r="G762" s="0" t="str">
        <f aca="false">TRIM(December!A73)</f>
        <v>Magánóra, korrepetálás</v>
      </c>
      <c r="H762" s="0" t="str">
        <f aca="false">IF(G762="","",IF(COUNTIF(G$2:G762,G762)=1,MAX(H$1:H761)+1,""))</f>
        <v/>
      </c>
    </row>
    <row r="763" customFormat="false" ht="15" hidden="false" customHeight="false" outlineLevel="0" collapsed="false">
      <c r="G763" s="0" t="str">
        <f aca="false">TRIM(December!A74)</f>
        <v>Zsebpénz</v>
      </c>
      <c r="H763" s="0" t="str">
        <f aca="false">IF(G763="","",IF(COUNTIF(G$2:G763,G763)=1,MAX(H$1:H762)+1,""))</f>
        <v/>
      </c>
    </row>
    <row r="764" customFormat="false" ht="15" hidden="false" customHeight="false" outlineLevel="0" collapsed="false">
      <c r="G764" s="0" t="str">
        <f aca="false">TRIM(December!A75)</f>
        <v>Játékok, szórakozás</v>
      </c>
      <c r="H764" s="0" t="str">
        <f aca="false">IF(G764="","",IF(COUNTIF(G$2:G764,G764)=1,MAX(H$1:H763)+1,""))</f>
        <v/>
      </c>
    </row>
    <row r="765" customFormat="false" ht="15" hidden="false" customHeight="false" outlineLevel="0" collapsed="false">
      <c r="G765" s="0" t="str">
        <f aca="false">TRIM(December!A76)</f>
        <v/>
      </c>
      <c r="H765" s="0" t="str">
        <f aca="false">IF(G765="","",IF(COUNTIF(G$2:G765,G765)=1,MAX(H$1:H764)+1,""))</f>
        <v/>
      </c>
    </row>
    <row r="766" customFormat="false" ht="15" hidden="false" customHeight="false" outlineLevel="0" collapsed="false">
      <c r="G766" s="0" t="str">
        <f aca="false">TRIM(December!A77)</f>
        <v/>
      </c>
      <c r="H766" s="0" t="str">
        <f aca="false">IF(G766="","",IF(COUNTIF(G$2:G766,G766)=1,MAX(H$1:H765)+1,""))</f>
        <v/>
      </c>
    </row>
    <row r="767" customFormat="false" ht="15" hidden="false" customHeight="false" outlineLevel="0" collapsed="false">
      <c r="G767" s="0" t="str">
        <f aca="false">TRIM(December!A78)</f>
        <v/>
      </c>
      <c r="H767" s="0" t="str">
        <f aca="false">IF(G767="","",IF(COUNTIF(G$2:G767,G767)=1,MAX(H$1:H766)+1,""))</f>
        <v/>
      </c>
    </row>
    <row r="768" customFormat="false" ht="15" hidden="false" customHeight="false" outlineLevel="0" collapsed="false">
      <c r="G768" s="0" t="str">
        <f aca="false">TRIM(December!A81)</f>
        <v>Ruha</v>
      </c>
      <c r="H768" s="0" t="str">
        <f aca="false">IF(G768="","",IF(COUNTIF(G$2:G768,G768)=1,MAX(H$1:H767)+1,""))</f>
        <v/>
      </c>
    </row>
    <row r="769" customFormat="false" ht="15" hidden="false" customHeight="false" outlineLevel="0" collapsed="false">
      <c r="G769" s="0" t="str">
        <f aca="false">TRIM(December!A82)</f>
        <v>Cipő</v>
      </c>
      <c r="H769" s="0" t="str">
        <f aca="false">IF(G769="","",IF(COUNTIF(G$2:G769,G769)=1,MAX(H$1:H768)+1,""))</f>
        <v/>
      </c>
    </row>
    <row r="770" customFormat="false" ht="15" hidden="false" customHeight="false" outlineLevel="0" collapsed="false">
      <c r="G770" s="0" t="str">
        <f aca="false">TRIM(December!A83)</f>
        <v>Kiegészítők (táska, ékszer, óra)</v>
      </c>
      <c r="H770" s="0" t="str">
        <f aca="false">IF(G770="","",IF(COUNTIF(G$2:G770,G770)=1,MAX(H$1:H769)+1,""))</f>
        <v/>
      </c>
    </row>
    <row r="771" customFormat="false" ht="15" hidden="false" customHeight="false" outlineLevel="0" collapsed="false">
      <c r="G771" s="0" t="str">
        <f aca="false">TRIM(December!A84)</f>
        <v/>
      </c>
      <c r="H771" s="0" t="str">
        <f aca="false">IF(G771="","",IF(COUNTIF(G$2:G771,G771)=1,MAX(H$1:H770)+1,""))</f>
        <v/>
      </c>
    </row>
    <row r="772" customFormat="false" ht="15" hidden="false" customHeight="false" outlineLevel="0" collapsed="false">
      <c r="G772" s="0" t="str">
        <f aca="false">TRIM(December!A87)</f>
        <v>Fodrász, borbély</v>
      </c>
      <c r="H772" s="0" t="str">
        <f aca="false">IF(G772="","",IF(COUNTIF(G$2:G772,G772)=1,MAX(H$1:H771)+1,""))</f>
        <v/>
      </c>
    </row>
    <row r="773" customFormat="false" ht="15" hidden="false" customHeight="false" outlineLevel="0" collapsed="false">
      <c r="G773" s="0" t="str">
        <f aca="false">TRIM(December!A88)</f>
        <v>Kozmetikus, manikűr, pedikűr</v>
      </c>
      <c r="H773" s="0" t="str">
        <f aca="false">IF(G773="","",IF(COUNTIF(G$2:G773,G773)=1,MAX(H$1:H772)+1,""))</f>
        <v/>
      </c>
    </row>
    <row r="774" customFormat="false" ht="15" hidden="false" customHeight="false" outlineLevel="0" collapsed="false">
      <c r="G774" s="0" t="str">
        <f aca="false">TRIM(December!A89)</f>
        <v>Kozmetikumok, parfüm</v>
      </c>
      <c r="H774" s="0" t="str">
        <f aca="false">IF(G774="","",IF(COUNTIF(G$2:G774,G774)=1,MAX(H$1:H773)+1,""))</f>
        <v/>
      </c>
    </row>
    <row r="775" customFormat="false" ht="15" hidden="false" customHeight="false" outlineLevel="0" collapsed="false">
      <c r="G775" s="0" t="str">
        <f aca="false">TRIM(December!A90)</f>
        <v>Edzés, sport, bérlet</v>
      </c>
      <c r="H775" s="0" t="str">
        <f aca="false">IF(G775="","",IF(COUNTIF(G$2:G775,G775)=1,MAX(H$1:H774)+1,""))</f>
        <v/>
      </c>
    </row>
    <row r="776" customFormat="false" ht="15" hidden="false" customHeight="false" outlineLevel="0" collapsed="false">
      <c r="G776" s="0" t="str">
        <f aca="false">TRIM(December!A91)</f>
        <v>Gyógyszer, vitamin</v>
      </c>
      <c r="H776" s="0" t="str">
        <f aca="false">IF(G776="","",IF(COUNTIF(G$2:G776,G776)=1,MAX(H$1:H775)+1,""))</f>
        <v/>
      </c>
    </row>
    <row r="777" customFormat="false" ht="15" hidden="false" customHeight="false" outlineLevel="0" collapsed="false">
      <c r="G777" s="0" t="str">
        <f aca="false">TRIM(December!A92)</f>
        <v>Orvos, fogorvos, magánrendelés</v>
      </c>
      <c r="H777" s="0" t="str">
        <f aca="false">IF(G777="","",IF(COUNTIF(G$2:G777,G777)=1,MAX(H$1:H776)+1,""))</f>
        <v/>
      </c>
    </row>
    <row r="778" customFormat="false" ht="15" hidden="false" customHeight="false" outlineLevel="0" collapsed="false">
      <c r="G778" s="0" t="str">
        <f aca="false">TRIM(December!A93)</f>
        <v/>
      </c>
      <c r="H778" s="0" t="str">
        <f aca="false">IF(G778="","",IF(COUNTIF(G$2:G778,G778)=1,MAX(H$1:H777)+1,""))</f>
        <v/>
      </c>
    </row>
    <row r="779" customFormat="false" ht="15" hidden="false" customHeight="false" outlineLevel="0" collapsed="false">
      <c r="G779" s="0" t="str">
        <f aca="false">TRIM(December!A96)</f>
        <v>Cigaretta, dohány</v>
      </c>
      <c r="H779" s="0" t="str">
        <f aca="false">IF(G779="","",IF(COUNTIF(G$2:G779,G779)=1,MAX(H$1:H778)+1,""))</f>
        <v/>
      </c>
    </row>
    <row r="780" customFormat="false" ht="15" hidden="false" customHeight="false" outlineLevel="0" collapsed="false">
      <c r="G780" s="0" t="str">
        <f aca="false">TRIM(December!A97)</f>
        <v>E-cigaretta, hevített dohánytermék</v>
      </c>
      <c r="H780" s="0" t="str">
        <f aca="false">IF(G780="","",IF(COUNTIF(G$2:G780,G780)=1,MAX(H$1:H779)+1,""))</f>
        <v/>
      </c>
    </row>
    <row r="781" customFormat="false" ht="15" hidden="false" customHeight="false" outlineLevel="0" collapsed="false">
      <c r="G781" s="0" t="str">
        <f aca="false">TRIM(December!A98)</f>
        <v/>
      </c>
      <c r="H781" s="0" t="str">
        <f aca="false">IF(G781="","",IF(COUNTIF(G$2:G781,G781)=1,MAX(H$1:H780)+1,""))</f>
        <v/>
      </c>
    </row>
    <row r="782" customFormat="false" ht="15" hidden="false" customHeight="false" outlineLevel="0" collapsed="false">
      <c r="G782" s="0" t="str">
        <f aca="false">TRIM(December!A101)</f>
        <v>Állateledel, jutalomfalat</v>
      </c>
      <c r="H782" s="0" t="str">
        <f aca="false">IF(G782="","",IF(COUNTIF(G$2:G782,G782)=1,MAX(H$1:H781)+1,""))</f>
        <v/>
      </c>
    </row>
    <row r="783" customFormat="false" ht="15" hidden="false" customHeight="false" outlineLevel="0" collapsed="false">
      <c r="G783" s="0" t="str">
        <f aca="false">TRIM(December!A102)</f>
        <v>Állatorvos, oltások, gyógyszer</v>
      </c>
      <c r="H783" s="0" t="str">
        <f aca="false">IF(G783="","",IF(COUNTIF(G$2:G783,G783)=1,MAX(H$1:H782)+1,""))</f>
        <v/>
      </c>
    </row>
    <row r="784" customFormat="false" ht="15" hidden="false" customHeight="false" outlineLevel="0" collapsed="false">
      <c r="G784" s="0" t="str">
        <f aca="false">TRIM(December!A103)</f>
        <v>Felszerelés, alom, játékok</v>
      </c>
      <c r="H784" s="0" t="str">
        <f aca="false">IF(G784="","",IF(COUNTIF(G$2:G784,G784)=1,MAX(H$1:H783)+1,""))</f>
        <v/>
      </c>
    </row>
    <row r="785" customFormat="false" ht="15" hidden="false" customHeight="false" outlineLevel="0" collapsed="false">
      <c r="G785" s="0" t="str">
        <f aca="false">TRIM(December!A104)</f>
        <v>Kisállat-kozmetika, panzió, kutyaiskola</v>
      </c>
      <c r="H785" s="0" t="str">
        <f aca="false">IF(G785="","",IF(COUNTIF(G$2:G785,G785)=1,MAX(H$1:H784)+1,""))</f>
        <v/>
      </c>
    </row>
    <row r="786" customFormat="false" ht="15" hidden="false" customHeight="false" outlineLevel="0" collapsed="false">
      <c r="G786" s="0" t="str">
        <f aca="false">TRIM(December!A105)</f>
        <v/>
      </c>
      <c r="H786" s="0" t="str">
        <f aca="false">IF(G786="","",IF(COUNTIF(G$2:G786,G786)=1,MAX(H$1:H785)+1,""))</f>
        <v/>
      </c>
    </row>
    <row r="787" customFormat="false" ht="15" hidden="false" customHeight="false" outlineLevel="0" collapsed="false">
      <c r="G787" s="0" t="str">
        <f aca="false">TRIM(December!A108)</f>
        <v>Hobbi</v>
      </c>
      <c r="H787" s="0" t="str">
        <f aca="false">IF(G787="","",IF(COUNTIF(G$2:G787,G787)=1,MAX(H$1:H786)+1,""))</f>
        <v/>
      </c>
    </row>
    <row r="788" customFormat="false" ht="15" hidden="false" customHeight="false" outlineLevel="0" collapsed="false">
      <c r="G788" s="0" t="str">
        <f aca="false">TRIM(December!A109)</f>
        <v>Szórakozás (mozi, színház, koncert, étterem)</v>
      </c>
      <c r="H788" s="0" t="str">
        <f aca="false">IF(G788="","",IF(COUNTIF(G$2:G788,G788)=1,MAX(H$1:H787)+1,""))</f>
        <v/>
      </c>
    </row>
    <row r="789" customFormat="false" ht="15" hidden="false" customHeight="false" outlineLevel="0" collapsed="false">
      <c r="G789" s="0" t="str">
        <f aca="false">TRIM(December!A110)</f>
        <v>Nyaralás, utazás</v>
      </c>
      <c r="H789" s="0" t="str">
        <f aca="false">IF(G789="","",IF(COUNTIF(G$2:G789,G789)=1,MAX(H$1:H788)+1,""))</f>
        <v/>
      </c>
    </row>
    <row r="790" customFormat="false" ht="15" hidden="false" customHeight="false" outlineLevel="0" collapsed="false">
      <c r="G790" s="0" t="str">
        <f aca="false">TRIM(December!A111)</f>
        <v/>
      </c>
      <c r="H790" s="0" t="str">
        <f aca="false">IF(G790="","",IF(COUNTIF(G$2:G790,G790)=1,MAX(H$1:H789)+1,""))</f>
        <v/>
      </c>
    </row>
    <row r="791" customFormat="false" ht="15" hidden="false" customHeight="false" outlineLevel="0" collapsed="false">
      <c r="G791" s="0" t="str">
        <f aca="false">TRIM(December!A114)</f>
        <v>Ünnepek, ajándékok</v>
      </c>
      <c r="H791" s="0" t="str">
        <f aca="false">IF(G791="","",IF(COUNTIF(G$2:G791,G791)=1,MAX(H$1:H790)+1,""))</f>
        <v/>
      </c>
    </row>
    <row r="792" customFormat="false" ht="15" hidden="false" customHeight="false" outlineLevel="0" collapsed="false">
      <c r="G792" s="0" t="str">
        <f aca="false">TRIM(December!A115)</f>
        <v>Egyéb kiadás</v>
      </c>
      <c r="H792" s="0" t="str">
        <f aca="false">IF(G792="","",IF(COUNTIF(G$2:G792,G792)=1,MAX(H$1:H791)+1,""))</f>
        <v/>
      </c>
    </row>
    <row r="793" customFormat="false" ht="15" hidden="false" customHeight="false" outlineLevel="0" collapsed="false">
      <c r="G793" s="0" t="str">
        <f aca="false">TRIM(December!A116)</f>
        <v/>
      </c>
      <c r="H793" s="0" t="str">
        <f aca="false">IF(G793="","",IF(COUNTIF(G$2:G793,G793)=1,MAX(H$1:H792)+1,""))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2026-10-26T16:54:46Z</dcterms:created>
  <dc:creator>openpyxl</dc:creator>
  <dc:description/>
  <dc:language>en-US</dc:language>
  <cp:lastModifiedBy/>
  <dcterms:modified xsi:type="dcterms:W3CDTF">2026-10-26T17:54:50Z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